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06-엑셀 출제유형분석6회\"/>
    </mc:Choice>
  </mc:AlternateContent>
  <xr:revisionPtr revIDLastSave="0" documentId="13_ncr:1_{B84D7960-7FEA-4D86-834C-320F5BBD8059}" xr6:coauthVersionLast="45" xr6:coauthVersionMax="45" xr10:uidLastSave="{00000000-0000-0000-0000-000000000000}"/>
  <bookViews>
    <workbookView showVerticalScroll="0" xWindow="-120" yWindow="-120" windowWidth="38640" windowHeight="21240" tabRatio="321" firstSheet="1" activeTab="7" xr2:uid="{00000000-000D-0000-FFFF-FFFF00000000}"/>
  </bookViews>
  <sheets>
    <sheet name="기본작업-1" sheetId="2" r:id="rId1"/>
    <sheet name="기본작업-2" sheetId="13" r:id="rId2"/>
    <sheet name="계산작업" sheetId="3" r:id="rId3"/>
    <sheet name="분석작업-1" sheetId="14" r:id="rId4"/>
    <sheet name="분석작업-2" sheetId="16" r:id="rId5"/>
    <sheet name="기타작업-1" sheetId="15" r:id="rId6"/>
    <sheet name="기타작업-2" sheetId="10" r:id="rId7"/>
    <sheet name="기타작업-3" sheetId="12" r:id="rId8"/>
  </sheets>
  <functionGroups builtInGroupCount="19"/>
  <definedNames>
    <definedName name="_xlnm._FilterDatabase" localSheetId="2" hidden="1">계산작업!$B$2:$J$29</definedName>
    <definedName name="_xlnm._FilterDatabase" localSheetId="0" hidden="1">'기본작업-1'!$B$2:$J$25</definedName>
    <definedName name="_xlnm._FilterDatabase" localSheetId="6" hidden="1">'기타작업-2'!#REF!</definedName>
    <definedName name="_xlnm._FilterDatabase" localSheetId="4" hidden="1">'분석작업-2'!$B$2:$E$22</definedName>
    <definedName name="_xlnm.Criteria" localSheetId="0">'기본작업-1'!$G$30:$G$31</definedName>
    <definedName name="_xlnm.Extract" localSheetId="0">'기본작업-1'!#REF!</definedName>
    <definedName name="MS_Access_Database_Query" localSheetId="0">'기본작업-1'!$B$2:$I$25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1" i="2" l="1"/>
  <c r="G31" i="2"/>
  <c r="J41" i="16" l="1"/>
  <c r="J40" i="16"/>
  <c r="J39" i="16"/>
  <c r="J38" i="16"/>
  <c r="J37" i="16"/>
  <c r="J36" i="16"/>
  <c r="J35" i="16"/>
  <c r="J34" i="16"/>
  <c r="J33" i="16"/>
  <c r="J32" i="16"/>
  <c r="G10" i="15" l="1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G3" i="15"/>
  <c r="F3" i="15"/>
  <c r="E60" i="13" l="1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G12" i="10" l="1"/>
  <c r="G11" i="10"/>
  <c r="G10" i="10"/>
  <c r="G9" i="10"/>
  <c r="G8" i="10"/>
  <c r="G7" i="10"/>
  <c r="G6" i="10"/>
  <c r="G5" i="10"/>
  <c r="G4" i="10"/>
  <c r="N12" i="3" l="1" a="1"/>
  <c r="N12" i="3" s="1"/>
  <c r="O12" i="3" a="1"/>
  <c r="O12" i="3" s="1"/>
  <c r="N13" i="3" a="1"/>
  <c r="N13" i="3" s="1"/>
  <c r="O13" i="3" a="1"/>
  <c r="O13" i="3" s="1"/>
  <c r="N14" i="3" a="1"/>
  <c r="N14" i="3" s="1"/>
  <c r="O14" i="3" a="1"/>
  <c r="O14" i="3" s="1"/>
  <c r="M13" i="3" a="1"/>
  <c r="M13" i="3" s="1"/>
  <c r="M14" i="3" a="1"/>
  <c r="M14" i="3" s="1"/>
  <c r="M12" i="3" a="1"/>
  <c r="M12" i="3" s="1"/>
  <c r="N7" i="3" a="1"/>
  <c r="N7" i="3" s="1"/>
  <c r="O7" i="3" a="1"/>
  <c r="O7" i="3" s="1"/>
  <c r="N8" i="3" a="1"/>
  <c r="N8" i="3" s="1"/>
  <c r="O8" i="3" a="1"/>
  <c r="O8" i="3" s="1"/>
  <c r="N9" i="3" a="1"/>
  <c r="N9" i="3" s="1"/>
  <c r="O9" i="3" a="1"/>
  <c r="O9" i="3" s="1"/>
  <c r="M8" i="3" a="1"/>
  <c r="M8" i="3" s="1"/>
  <c r="M9" i="3" a="1"/>
  <c r="M9" i="3" s="1"/>
  <c r="M7" i="3" a="1"/>
  <c r="M7" i="3" s="1"/>
  <c r="O41" i="3" a="1"/>
  <c r="O41" i="3" s="1"/>
  <c r="O42" i="3" a="1"/>
  <c r="O42" i="3" s="1"/>
  <c r="O40" i="3" a="1"/>
  <c r="O40" i="3" s="1"/>
  <c r="N41" i="3" a="1"/>
  <c r="N41" i="3" s="1"/>
  <c r="N42" i="3" a="1"/>
  <c r="N42" i="3" s="1"/>
  <c r="N40" i="3" a="1"/>
  <c r="N40" i="3" s="1"/>
  <c r="P41" i="3" a="1"/>
  <c r="P41" i="3" s="1"/>
  <c r="P42" i="3" a="1"/>
  <c r="P42" i="3" s="1"/>
  <c r="P40" i="3" a="1"/>
  <c r="P40" i="3" s="1"/>
  <c r="L41" i="3" a="1"/>
  <c r="L41" i="3" s="1"/>
  <c r="L42" i="3" a="1"/>
  <c r="L42" i="3" s="1"/>
  <c r="L40" i="3" a="1"/>
  <c r="L40" i="3" s="1"/>
  <c r="J16" i="3"/>
  <c r="J9" i="3"/>
  <c r="J29" i="3"/>
  <c r="J3" i="3"/>
  <c r="J12" i="3"/>
  <c r="J22" i="3"/>
  <c r="J13" i="3"/>
  <c r="J6" i="3"/>
  <c r="J20" i="3"/>
  <c r="J4" i="3"/>
  <c r="J17" i="3"/>
  <c r="J19" i="3"/>
  <c r="J25" i="3"/>
  <c r="J24" i="3"/>
  <c r="J14" i="3"/>
  <c r="J23" i="3"/>
  <c r="J15" i="3"/>
  <c r="J21" i="3"/>
  <c r="J8" i="3"/>
  <c r="J5" i="3"/>
  <c r="J7" i="3"/>
  <c r="J11" i="3"/>
  <c r="J28" i="3"/>
  <c r="J26" i="3"/>
  <c r="J18" i="3"/>
  <c r="J10" i="3"/>
  <c r="J27" i="3"/>
  <c r="G37" i="3" l="1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36" i="3"/>
  <c r="R15" i="3"/>
  <c r="R4" i="3"/>
  <c r="R5" i="3"/>
  <c r="R6" i="3"/>
  <c r="R7" i="3"/>
  <c r="R8" i="3"/>
  <c r="R9" i="3"/>
  <c r="R10" i="3"/>
  <c r="R11" i="3"/>
  <c r="R12" i="3"/>
  <c r="R13" i="3"/>
  <c r="R14" i="3"/>
  <c r="R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" i="3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3" i="2"/>
  <c r="I32" i="2" l="1"/>
  <c r="D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1" type="1" refreshedVersion="4">
    <dbPr connection="DSN=MS Access Database;DBQ=C:\Users\ican2\Desktop\1-2010버전 엑셀\2010버전 출제유형분석6회\자격시험.mdb;DefaultDir=C:\Users\ican2\Desktop\1-2010버전 엑셀\2010버전 출제유형분석6회;DriverId=25;FIL=MS Access;MaxBufferSize=2048;PageTimeout=5;" command="SELECT 자격검정관리.번호, 자격검정관리.이름, 자격검정관리.구분, 자격검정관리.고사장, 자격검정관리.DB, 자격검정관리.전산구조, 자격검정관리.운영체제, 자격검정관리.SW공학, 자격검정관리.데이터통신, 자격검정관리.합계, 자격검정관리.평균, 자격검정관리.비고_x000d__x000a_FROM 자격검정관리 자격검정관리"/>
  </connection>
  <connection id="2" xr16:uid="{00000000-0015-0000-FFFF-FFFF01000000}" name="MS Access Database_Query2" type="1" refreshedVersion="6">
    <dbPr connection="DSN=MS Access Database;DBQ=C:\USERS\아이티버팀목\Desktop\컴활1급실기 예제\1-출제유형분석 엑셀\06-출제유형분석6회\자격시험.mdb;DefaultDir=C:\USERS\아이티버팀목\Desktop\컴활1급실기 예제\1-출제유형분석 엑셀\06-출제유형분석6회;DriverId=25;FIL=MS Access;MaxBufferSize=2048;PageTimeout=5;" command="SELECT 자격검정관리.번호, 자격검정관리.이름, 자격검정관리.구분, 자격검정관리.고사장, 자격검정관리.DB, 자격검정관리.전산구조, 자격검정관리.운영체제, 자격검정관리.SW공학, 자격검정관리.데이터통신, 자격검정관리.합계, 자격검정관리.평균, 자격검정관리.비고_x000d__x000a_FROM 자격검정관리 자격검정관리"/>
  </connection>
  <connection id="3" xr16:uid="{00000000-0015-0000-FFFF-FFFF02000000}" name="연결" type="1" refreshedVersion="2" background="1" saveData="1">
    <dbPr connection="DSN=MS Access Database;DBQ=D:\김세열자료\컴활실기\문제출제4\성적표.mdb;DefaultDir=D:\김세열자료\컴활실기\문제출제4;DriverId=25;FIL=MS Access;MaxBufferSize=2048;PageTimeout=5;" command="SELECT 성적표.학번, 성적표.구분, 성적표.전공, 성적표.평균, 성적표.평점, 성적표.비고_x000d__x000a_FROM `D:\김세열자료\컴활실기\문제출제4\성적표`.성적표 성적표_x000d__x000a_WHERE (성적표.평균&gt;=2) AND (성적표.비고&lt;&gt;'진학')_x000d__x000a_ORDER BY 성적표.전공 DESC, 성적표.평균"/>
  </connection>
</connections>
</file>

<file path=xl/sharedStrings.xml><?xml version="1.0" encoding="utf-8"?>
<sst xmlns="http://schemas.openxmlformats.org/spreadsheetml/2006/main" count="601" uniqueCount="344">
  <si>
    <t>성명</t>
    <phoneticPr fontId="2" type="noConversion"/>
  </si>
  <si>
    <t>[표1]</t>
    <phoneticPr fontId="2" type="noConversion"/>
  </si>
  <si>
    <t>입학일</t>
    <phoneticPr fontId="2" type="noConversion"/>
  </si>
  <si>
    <t>전공</t>
  </si>
  <si>
    <t>비고</t>
  </si>
  <si>
    <t>물리</t>
  </si>
  <si>
    <t>취업</t>
  </si>
  <si>
    <t>화학</t>
    <phoneticPr fontId="2" type="noConversion"/>
  </si>
  <si>
    <t>수학</t>
    <phoneticPr fontId="2" type="noConversion"/>
  </si>
  <si>
    <t>통계</t>
    <phoneticPr fontId="2" type="noConversion"/>
  </si>
  <si>
    <t>수학</t>
  </si>
  <si>
    <t>군입대</t>
  </si>
  <si>
    <t>물리</t>
    <phoneticPr fontId="2" type="noConversion"/>
  </si>
  <si>
    <t>화학</t>
  </si>
  <si>
    <t>생물</t>
    <phoneticPr fontId="2" type="noConversion"/>
  </si>
  <si>
    <t>교육</t>
  </si>
  <si>
    <t>불문</t>
  </si>
  <si>
    <t>국문</t>
    <phoneticPr fontId="2" type="noConversion"/>
  </si>
  <si>
    <t>영문</t>
  </si>
  <si>
    <t>군입대</t>
    <phoneticPr fontId="2" type="noConversion"/>
  </si>
  <si>
    <t>윤리</t>
  </si>
  <si>
    <t>식품</t>
  </si>
  <si>
    <t>컴퓨터</t>
  </si>
  <si>
    <t>점수1</t>
    <phoneticPr fontId="10" type="noConversion"/>
  </si>
  <si>
    <t>점수2</t>
    <phoneticPr fontId="10" type="noConversion"/>
  </si>
  <si>
    <t>점수3</t>
    <phoneticPr fontId="10" type="noConversion"/>
  </si>
  <si>
    <t>점수4</t>
    <phoneticPr fontId="10" type="noConversion"/>
  </si>
  <si>
    <t>총점</t>
    <phoneticPr fontId="1" type="noConversion"/>
  </si>
  <si>
    <t>번호</t>
    <phoneticPr fontId="1" type="noConversion"/>
  </si>
  <si>
    <t>[표1]</t>
    <phoneticPr fontId="2" type="noConversion"/>
  </si>
  <si>
    <t>지역</t>
    <phoneticPr fontId="2" type="noConversion"/>
  </si>
  <si>
    <t>학년</t>
    <phoneticPr fontId="2" type="noConversion"/>
  </si>
  <si>
    <t xml:space="preserve">수용인원 </t>
    <phoneticPr fontId="2" type="noConversion"/>
  </si>
  <si>
    <t>임대료</t>
    <phoneticPr fontId="2" type="noConversion"/>
  </si>
  <si>
    <t>관리비</t>
    <phoneticPr fontId="2" type="noConversion"/>
  </si>
  <si>
    <t>전기사용(KW)</t>
    <phoneticPr fontId="2" type="noConversion"/>
  </si>
  <si>
    <t>부산</t>
    <phoneticPr fontId="2" type="noConversion"/>
  </si>
  <si>
    <t>강석은</t>
  </si>
  <si>
    <t>강형준</t>
  </si>
  <si>
    <t>서울</t>
    <phoneticPr fontId="2" type="noConversion"/>
  </si>
  <si>
    <t>고윤장</t>
  </si>
  <si>
    <t>곽근민</t>
  </si>
  <si>
    <t>구진본</t>
  </si>
  <si>
    <t>김주광</t>
  </si>
  <si>
    <t>김모근</t>
  </si>
  <si>
    <t>김범기</t>
  </si>
  <si>
    <t>김운기</t>
  </si>
  <si>
    <t>김철기</t>
  </si>
  <si>
    <t>김호기</t>
  </si>
  <si>
    <t>대전</t>
    <phoneticPr fontId="2" type="noConversion"/>
  </si>
  <si>
    <t>김순덕</t>
  </si>
  <si>
    <t>김민동</t>
  </si>
  <si>
    <t>김휘동</t>
  </si>
  <si>
    <t>김현보</t>
  </si>
  <si>
    <t>김겸성</t>
  </si>
  <si>
    <t>김수성</t>
  </si>
  <si>
    <t>김열성</t>
  </si>
  <si>
    <t>김호성</t>
  </si>
  <si>
    <t>김훈성</t>
  </si>
  <si>
    <t>김호수</t>
  </si>
  <si>
    <t>김식양</t>
  </si>
  <si>
    <t>김수연</t>
  </si>
  <si>
    <t>김권영</t>
  </si>
  <si>
    <t>김빈영</t>
  </si>
  <si>
    <t>김태영</t>
  </si>
  <si>
    <t>김호영</t>
  </si>
  <si>
    <t>년이율</t>
    <phoneticPr fontId="2" type="noConversion"/>
  </si>
  <si>
    <t>대출기간(년)</t>
    <phoneticPr fontId="2" type="noConversion"/>
  </si>
  <si>
    <t>구매건수</t>
    <phoneticPr fontId="2" type="noConversion"/>
  </si>
  <si>
    <t>대출금액</t>
    <phoneticPr fontId="2" type="noConversion"/>
  </si>
  <si>
    <t>월상환액</t>
    <phoneticPr fontId="2" type="noConversion"/>
  </si>
  <si>
    <t>번호</t>
    <phoneticPr fontId="2" type="noConversion"/>
  </si>
  <si>
    <t>[표2]</t>
    <phoneticPr fontId="1" type="noConversion"/>
  </si>
  <si>
    <t>대출금액 최대값</t>
    <phoneticPr fontId="1" type="noConversion"/>
  </si>
  <si>
    <t>구매건수</t>
    <phoneticPr fontId="1" type="noConversion"/>
  </si>
  <si>
    <t>서울</t>
    <phoneticPr fontId="1" type="noConversion"/>
  </si>
  <si>
    <t>대전</t>
    <phoneticPr fontId="1" type="noConversion"/>
  </si>
  <si>
    <t>부산</t>
    <phoneticPr fontId="1" type="noConversion"/>
  </si>
  <si>
    <t>순위</t>
    <phoneticPr fontId="1" type="noConversion"/>
  </si>
  <si>
    <t>[표3]</t>
    <phoneticPr fontId="1" type="noConversion"/>
  </si>
  <si>
    <t>사용시작일</t>
    <phoneticPr fontId="2" type="noConversion"/>
  </si>
  <si>
    <t>할인구분</t>
    <phoneticPr fontId="1" type="noConversion"/>
  </si>
  <si>
    <t>학년별 할인율을 IF로 풀때</t>
    <phoneticPr fontId="1" type="noConversion"/>
  </si>
  <si>
    <t>[표2-2]</t>
    <phoneticPr fontId="1" type="noConversion"/>
  </si>
  <si>
    <t>원본값</t>
    <phoneticPr fontId="1" type="noConversion"/>
  </si>
  <si>
    <t>ROUND</t>
    <phoneticPr fontId="1" type="noConversion"/>
  </si>
  <si>
    <t>ROUNDDOWN</t>
    <phoneticPr fontId="1" type="noConversion"/>
  </si>
  <si>
    <t>반올림</t>
    <phoneticPr fontId="1" type="noConversion"/>
  </si>
  <si>
    <t>버림</t>
    <phoneticPr fontId="1" type="noConversion"/>
  </si>
  <si>
    <t>만약 작은값에서 순위값을 구할때</t>
    <phoneticPr fontId="1" type="noConversion"/>
  </si>
  <si>
    <t>사원별 급여 현황</t>
    <phoneticPr fontId="2" type="noConversion"/>
  </si>
  <si>
    <t>성명</t>
    <phoneticPr fontId="2" type="noConversion"/>
  </si>
  <si>
    <t>부서</t>
    <phoneticPr fontId="2" type="noConversion"/>
  </si>
  <si>
    <t>직급</t>
    <phoneticPr fontId="2" type="noConversion"/>
  </si>
  <si>
    <t>직위</t>
    <phoneticPr fontId="2" type="noConversion"/>
  </si>
  <si>
    <t>인사고과</t>
    <phoneticPr fontId="2" type="noConversion"/>
  </si>
  <si>
    <t>기본급</t>
    <phoneticPr fontId="2" type="noConversion"/>
  </si>
  <si>
    <t>총급여액</t>
    <phoneticPr fontId="2" type="noConversion"/>
  </si>
  <si>
    <t>홍길동</t>
    <phoneticPr fontId="2" type="noConversion"/>
  </si>
  <si>
    <t>판매부</t>
    <phoneticPr fontId="2" type="noConversion"/>
  </si>
  <si>
    <t>4급</t>
    <phoneticPr fontId="2" type="noConversion"/>
  </si>
  <si>
    <t>대리</t>
    <phoneticPr fontId="2" type="noConversion"/>
  </si>
  <si>
    <t>김세연</t>
    <phoneticPr fontId="2" type="noConversion"/>
  </si>
  <si>
    <t>홍보부</t>
    <phoneticPr fontId="2" type="noConversion"/>
  </si>
  <si>
    <t>3급</t>
    <phoneticPr fontId="2" type="noConversion"/>
  </si>
  <si>
    <t>과장</t>
    <phoneticPr fontId="2" type="noConversion"/>
  </si>
  <si>
    <t>이승연</t>
    <phoneticPr fontId="2" type="noConversion"/>
  </si>
  <si>
    <t>기획부</t>
    <phoneticPr fontId="2" type="noConversion"/>
  </si>
  <si>
    <t>2급</t>
    <phoneticPr fontId="2" type="noConversion"/>
  </si>
  <si>
    <t>부장</t>
    <phoneticPr fontId="2" type="noConversion"/>
  </si>
  <si>
    <t>김경수</t>
    <phoneticPr fontId="2" type="noConversion"/>
  </si>
  <si>
    <t>판매부</t>
    <phoneticPr fontId="2" type="noConversion"/>
  </si>
  <si>
    <t>이학봉</t>
    <phoneticPr fontId="2" type="noConversion"/>
  </si>
  <si>
    <t>지순녀</t>
    <phoneticPr fontId="2" type="noConversion"/>
  </si>
  <si>
    <t>4급</t>
    <phoneticPr fontId="2" type="noConversion"/>
  </si>
  <si>
    <t>대리</t>
    <phoneticPr fontId="2" type="noConversion"/>
  </si>
  <si>
    <t>김지연</t>
    <phoneticPr fontId="2" type="noConversion"/>
  </si>
  <si>
    <t>박원래</t>
    <phoneticPr fontId="2" type="noConversion"/>
  </si>
  <si>
    <t>최지은</t>
    <phoneticPr fontId="2" type="noConversion"/>
  </si>
  <si>
    <t>상여율</t>
    <phoneticPr fontId="2" type="noConversion"/>
  </si>
  <si>
    <t>판매량</t>
    <phoneticPr fontId="2" type="noConversion"/>
  </si>
  <si>
    <t>달성율</t>
    <phoneticPr fontId="2" type="noConversion"/>
  </si>
  <si>
    <t>연필</t>
    <phoneticPr fontId="2" type="noConversion"/>
  </si>
  <si>
    <t>매직</t>
    <phoneticPr fontId="2" type="noConversion"/>
  </si>
  <si>
    <t>사이펜</t>
    <phoneticPr fontId="2" type="noConversion"/>
  </si>
  <si>
    <t>지우개</t>
    <phoneticPr fontId="2" type="noConversion"/>
  </si>
  <si>
    <t>수정액</t>
    <phoneticPr fontId="2" type="noConversion"/>
  </si>
  <si>
    <t>[표2]</t>
    <phoneticPr fontId="2" type="noConversion"/>
  </si>
  <si>
    <t>등급</t>
    <phoneticPr fontId="2" type="noConversion"/>
  </si>
  <si>
    <t>날짜</t>
    <phoneticPr fontId="2" type="noConversion"/>
  </si>
  <si>
    <t>도착지</t>
    <phoneticPr fontId="2" type="noConversion"/>
  </si>
  <si>
    <t>매수</t>
    <phoneticPr fontId="2" type="noConversion"/>
  </si>
  <si>
    <t>가격</t>
    <phoneticPr fontId="2" type="noConversion"/>
  </si>
  <si>
    <t>배송비여부</t>
    <phoneticPr fontId="2" type="noConversion"/>
  </si>
  <si>
    <t>일반</t>
    <phoneticPr fontId="2" type="noConversion"/>
  </si>
  <si>
    <t>우등</t>
    <phoneticPr fontId="2" type="noConversion"/>
  </si>
  <si>
    <t>심야</t>
    <phoneticPr fontId="2" type="noConversion"/>
  </si>
  <si>
    <t>청주</t>
    <phoneticPr fontId="2" type="noConversion"/>
  </si>
  <si>
    <t>공주</t>
    <phoneticPr fontId="2" type="noConversion"/>
  </si>
  <si>
    <t>구미</t>
    <phoneticPr fontId="2" type="noConversion"/>
  </si>
  <si>
    <t>대구</t>
    <phoneticPr fontId="2" type="noConversion"/>
  </si>
  <si>
    <t>경주</t>
    <phoneticPr fontId="2" type="noConversion"/>
  </si>
  <si>
    <t>포항</t>
    <phoneticPr fontId="2" type="noConversion"/>
  </si>
  <si>
    <t>울산</t>
    <phoneticPr fontId="2" type="noConversion"/>
  </si>
  <si>
    <t>사번</t>
  </si>
  <si>
    <t>직무역량</t>
  </si>
  <si>
    <t>행동역량</t>
  </si>
  <si>
    <t>총계</t>
    <phoneticPr fontId="1" type="noConversion"/>
  </si>
  <si>
    <t>직무등급</t>
  </si>
  <si>
    <t>평가년도</t>
  </si>
  <si>
    <t>부서코드</t>
  </si>
  <si>
    <t>입사일</t>
  </si>
  <si>
    <t>이름</t>
  </si>
  <si>
    <t>A1054</t>
  </si>
  <si>
    <t>C</t>
  </si>
  <si>
    <t>BU6</t>
  </si>
  <si>
    <t>김태준</t>
  </si>
  <si>
    <t>A1055</t>
  </si>
  <si>
    <t>B</t>
  </si>
  <si>
    <t>김원남</t>
  </si>
  <si>
    <t>A1056</t>
  </si>
  <si>
    <t>D</t>
  </si>
  <si>
    <t>임종만</t>
  </si>
  <si>
    <t>A1002</t>
  </si>
  <si>
    <t>BU1</t>
  </si>
  <si>
    <t>이은주</t>
  </si>
  <si>
    <t>미응시</t>
    <phoneticPr fontId="1" type="noConversion"/>
  </si>
  <si>
    <t>A</t>
  </si>
  <si>
    <t>A1003</t>
  </si>
  <si>
    <t>박철진</t>
  </si>
  <si>
    <t>A1004</t>
  </si>
  <si>
    <t>채진욱</t>
  </si>
  <si>
    <t>A1005</t>
  </si>
  <si>
    <t>안병찬</t>
  </si>
  <si>
    <t>A1014</t>
  </si>
  <si>
    <t>F</t>
  </si>
  <si>
    <t>송민희</t>
  </si>
  <si>
    <t>A1040</t>
  </si>
  <si>
    <t>박민선</t>
  </si>
  <si>
    <t>A1001</t>
  </si>
  <si>
    <t>BU2</t>
  </si>
  <si>
    <t>성은희</t>
  </si>
  <si>
    <t>A1006</t>
  </si>
  <si>
    <t>이영호</t>
  </si>
  <si>
    <t>A1007</t>
  </si>
  <si>
    <t>이수영</t>
  </si>
  <si>
    <t>A1008</t>
  </si>
  <si>
    <t>박형주</t>
  </si>
  <si>
    <t>A1009</t>
  </si>
  <si>
    <t>김영철</t>
  </si>
  <si>
    <t>A1019</t>
  </si>
  <si>
    <t>황민희</t>
  </si>
  <si>
    <t>A1020</t>
  </si>
  <si>
    <t>이우현</t>
  </si>
  <si>
    <t>A1021</t>
  </si>
  <si>
    <t>서옥윤</t>
  </si>
  <si>
    <t>A1022</t>
  </si>
  <si>
    <t>안지연</t>
  </si>
  <si>
    <t>A1010</t>
  </si>
  <si>
    <t>BU3</t>
  </si>
  <si>
    <t>정성기</t>
  </si>
  <si>
    <t>A1013</t>
  </si>
  <si>
    <t>성지희</t>
  </si>
  <si>
    <t>A1016</t>
  </si>
  <si>
    <t>송인영</t>
  </si>
  <si>
    <t>A1032</t>
  </si>
  <si>
    <t>장태훈</t>
  </si>
  <si>
    <t>A1041</t>
  </si>
  <si>
    <t>김현희</t>
  </si>
  <si>
    <t>A1045</t>
  </si>
  <si>
    <t>양기식</t>
  </si>
  <si>
    <t>A1046</t>
  </si>
  <si>
    <t>이시경</t>
  </si>
  <si>
    <t>A1047</t>
  </si>
  <si>
    <t>양경민</t>
  </si>
  <si>
    <t>A1048</t>
  </si>
  <si>
    <t>이상권</t>
  </si>
  <si>
    <t>A1011</t>
  </si>
  <si>
    <t>BU4</t>
  </si>
  <si>
    <t>도우리</t>
  </si>
  <si>
    <t>A1012</t>
  </si>
  <si>
    <t>최은실</t>
  </si>
  <si>
    <t>A1024</t>
  </si>
  <si>
    <t>안규종</t>
  </si>
  <si>
    <t>A1025</t>
  </si>
  <si>
    <t>김종성</t>
  </si>
  <si>
    <t>A1026</t>
  </si>
  <si>
    <t>이부영</t>
  </si>
  <si>
    <t>A1027</t>
  </si>
  <si>
    <t>오세웅</t>
  </si>
  <si>
    <t>A1028</t>
  </si>
  <si>
    <t>김성진</t>
  </si>
  <si>
    <t>A1029</t>
  </si>
  <si>
    <t>이재윤</t>
  </si>
  <si>
    <t>A1030</t>
  </si>
  <si>
    <t>강원일</t>
  </si>
  <si>
    <t>A1031</t>
  </si>
  <si>
    <t>황해룡</t>
  </si>
  <si>
    <t>A1033</t>
  </si>
  <si>
    <t>이해규</t>
  </si>
  <si>
    <t>A1034</t>
  </si>
  <si>
    <t>전병호</t>
  </si>
  <si>
    <t>A1035</t>
  </si>
  <si>
    <t>이만열</t>
  </si>
  <si>
    <t>A1036</t>
  </si>
  <si>
    <t>전규달</t>
  </si>
  <si>
    <t>A1037</t>
  </si>
  <si>
    <t>오승실</t>
  </si>
  <si>
    <t>A1038</t>
  </si>
  <si>
    <t>이훈섭</t>
  </si>
  <si>
    <t>A1039</t>
  </si>
  <si>
    <t>서승남</t>
  </si>
  <si>
    <t>A1051</t>
  </si>
  <si>
    <t>유재민</t>
  </si>
  <si>
    <t>A1052</t>
  </si>
  <si>
    <t>김명수</t>
  </si>
  <si>
    <t>A1015</t>
  </si>
  <si>
    <t>BU5</t>
  </si>
  <si>
    <t>백현</t>
  </si>
  <si>
    <t>A1017</t>
  </si>
  <si>
    <t>두병빈</t>
  </si>
  <si>
    <t>A1018</t>
  </si>
  <si>
    <t>조태현</t>
  </si>
  <si>
    <t>A1023</t>
  </si>
  <si>
    <t>정원준</t>
  </si>
  <si>
    <t>A1042</t>
  </si>
  <si>
    <t>박재인</t>
  </si>
  <si>
    <t>A1043</t>
  </si>
  <si>
    <t>박범진</t>
  </si>
  <si>
    <t>A1044</t>
  </si>
  <si>
    <t>정민호</t>
  </si>
  <si>
    <t>A1057</t>
  </si>
  <si>
    <t>이상엽</t>
  </si>
  <si>
    <t>A1049</t>
  </si>
  <si>
    <t>오세일</t>
  </si>
  <si>
    <t>A1050</t>
  </si>
  <si>
    <t>문형필</t>
  </si>
  <si>
    <t>A1053</t>
  </si>
  <si>
    <t>김정연</t>
  </si>
  <si>
    <t>구분</t>
  </si>
  <si>
    <t>고사장</t>
  </si>
  <si>
    <t>영동1시험장</t>
  </si>
  <si>
    <t>강서2시험장</t>
  </si>
  <si>
    <t>강남2시험장</t>
  </si>
  <si>
    <t>울산1시험장</t>
  </si>
  <si>
    <t>대전2시험장</t>
  </si>
  <si>
    <t>부산1시험장</t>
  </si>
  <si>
    <t>영동2시험장</t>
  </si>
  <si>
    <t>부산2시험장</t>
  </si>
  <si>
    <t>강남1시험장</t>
  </si>
  <si>
    <t>(모두)</t>
  </si>
  <si>
    <t>총합계</t>
  </si>
  <si>
    <t>합계 : 합계</t>
  </si>
  <si>
    <t>번호</t>
  </si>
  <si>
    <t>&lt;5</t>
  </si>
  <si>
    <t>5-14</t>
  </si>
  <si>
    <t>15-24</t>
  </si>
  <si>
    <t>25-34</t>
  </si>
  <si>
    <t>35-44</t>
  </si>
  <si>
    <t>45-54</t>
  </si>
  <si>
    <t>중부</t>
  </si>
  <si>
    <t>남부</t>
  </si>
  <si>
    <t>고사장 구분</t>
  </si>
  <si>
    <t>중부 요약</t>
  </si>
  <si>
    <t>남부 요약</t>
  </si>
  <si>
    <t>문방구 판매현황</t>
    <phoneticPr fontId="2" type="noConversion"/>
  </si>
  <si>
    <t>품목</t>
    <phoneticPr fontId="2" type="noConversion"/>
  </si>
  <si>
    <t>판매가</t>
    <phoneticPr fontId="2" type="noConversion"/>
  </si>
  <si>
    <t>목표량</t>
    <phoneticPr fontId="2" type="noConversion"/>
  </si>
  <si>
    <t>판매총액</t>
    <phoneticPr fontId="2" type="noConversion"/>
  </si>
  <si>
    <t>노트</t>
    <phoneticPr fontId="2" type="noConversion"/>
  </si>
  <si>
    <t>잉크</t>
    <phoneticPr fontId="2" type="noConversion"/>
  </si>
  <si>
    <t>파일</t>
    <phoneticPr fontId="2" type="noConversion"/>
  </si>
  <si>
    <t>[표1]</t>
    <phoneticPr fontId="1" type="noConversion"/>
  </si>
  <si>
    <t>1번</t>
    <phoneticPr fontId="1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</si>
  <si>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</si>
  <si>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</si>
  <si>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</si>
  <si>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</si>
  <si>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</si>
  <si>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</si>
  <si>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</si>
  <si>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</si>
  <si>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</si>
  <si>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</si>
  <si>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12번</t>
  </si>
  <si>
    <t>13번</t>
  </si>
  <si>
    <t>14번</t>
  </si>
  <si>
    <t>15번</t>
  </si>
  <si>
    <t>16번</t>
  </si>
  <si>
    <t>17번</t>
  </si>
  <si>
    <t>18번</t>
  </si>
  <si>
    <t>19번</t>
  </si>
  <si>
    <t>20번</t>
  </si>
  <si>
    <t>통계학</t>
    <phoneticPr fontId="2" type="noConversion"/>
  </si>
  <si>
    <t>물리학</t>
    <phoneticPr fontId="2" type="noConversion"/>
  </si>
  <si>
    <t>일반 화학</t>
    <phoneticPr fontId="1" type="noConversion"/>
  </si>
  <si>
    <t>&lt;=2001-12-31</t>
    <phoneticPr fontId="1" type="noConversion"/>
  </si>
  <si>
    <t>&lt;&gt;취업</t>
    <phoneticPr fontId="1" type="noConversion"/>
  </si>
  <si>
    <t>조건</t>
    <phoneticPr fontId="1" type="noConversion"/>
  </si>
  <si>
    <t>&lt;이 풀이도 가능&gt;</t>
    <phoneticPr fontId="1" type="noConversion"/>
  </si>
  <si>
    <t>조건1</t>
    <phoneticPr fontId="1" type="noConversion"/>
  </si>
  <si>
    <t>조건2</t>
  </si>
  <si>
    <t>조건3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</si>
</sst>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2" formatCode="_-&quot;₩&quot;* #,##0_-;\-&quot;₩&quot;* #,##0_-;_-&quot;₩&quot;* &quot;-&quot;_-;_-@_-"/>
    <numFmt numFmtId="41" formatCode="_-* #,##0_-;\-* #,##0_-;_-* &quot;-&quot;_-;_-@_-"/>
    <numFmt numFmtId="176" formatCode="[$-409]mmmmm/yy;@"/>
    <numFmt numFmtId="177" formatCode="0_ "/>
    <numFmt numFmtId="178" formatCode="0_);[Red]\(0\)"/>
    <numFmt numFmtId="179" formatCode="_-* #,##0.00_-;\-* #,##0.00_-;_-* &quot;-&quot;_-;_-@_-"/>
    <numFmt numFmtId="180" formatCode="\~#"/>
    <numFmt numFmtId="181" formatCode="mm&quot;월&quot;\ dd&quot;일&quot;"/>
    <numFmt numFmtId="182" formatCode="#,##0_ "/>
    <numFmt numFmtId="183" formatCode="#,##0_);[Red]\(#,##0\)"/>
    <numFmt numFmtId="184" formatCode="dd\-mmm\-yy"/>
    <numFmt numFmtId="185" formatCode="&quot;₩&quot;#,##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6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2" fillId="0" borderId="0"/>
  </cellStyleXfs>
  <cellXfs count="76">
    <xf numFmtId="0" fontId="0" fillId="0" borderId="0" xfId="0">
      <alignment vertical="center"/>
    </xf>
    <xf numFmtId="0" fontId="3" fillId="0" borderId="0" xfId="0" applyFont="1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/>
    </xf>
    <xf numFmtId="14" fontId="6" fillId="0" borderId="1" xfId="0" applyNumberFormat="1" applyFont="1" applyBorder="1" applyAlignment="1"/>
    <xf numFmtId="0" fontId="6" fillId="0" borderId="1" xfId="0" applyFont="1" applyBorder="1" applyAlignment="1"/>
    <xf numFmtId="0" fontId="9" fillId="0" borderId="1" xfId="0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6" fillId="0" borderId="0" xfId="0" applyFont="1" applyAlignment="1">
      <alignment horizontal="left"/>
    </xf>
    <xf numFmtId="41" fontId="6" fillId="0" borderId="0" xfId="3" applyFont="1" applyAlignment="1">
      <alignment horizontal="left"/>
    </xf>
    <xf numFmtId="0" fontId="6" fillId="0" borderId="1" xfId="0" applyFont="1" applyBorder="1" applyAlignment="1">
      <alignment horizontal="center" vertical="center" wrapText="1"/>
    </xf>
    <xf numFmtId="41" fontId="6" fillId="0" borderId="1" xfId="3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177" fontId="6" fillId="0" borderId="1" xfId="0" applyNumberFormat="1" applyFont="1" applyBorder="1" applyAlignment="1">
      <alignment horizontal="center"/>
    </xf>
    <xf numFmtId="41" fontId="6" fillId="0" borderId="1" xfId="3" applyFont="1" applyBorder="1" applyAlignment="1"/>
    <xf numFmtId="41" fontId="6" fillId="0" borderId="1" xfId="3" applyFont="1" applyFill="1" applyBorder="1" applyAlignment="1"/>
    <xf numFmtId="0" fontId="0" fillId="0" borderId="1" xfId="0" applyBorder="1">
      <alignment vertical="center"/>
    </xf>
    <xf numFmtId="178" fontId="0" fillId="0" borderId="1" xfId="5" applyNumberFormat="1" applyFont="1" applyBorder="1">
      <alignment vertical="center"/>
    </xf>
    <xf numFmtId="9" fontId="0" fillId="0" borderId="1" xfId="5" applyFont="1" applyBorder="1">
      <alignment vertical="center"/>
    </xf>
    <xf numFmtId="41" fontId="6" fillId="2" borderId="1" xfId="3" applyFont="1" applyFill="1" applyBorder="1" applyAlignment="1">
      <alignment horizontal="center" vertical="center"/>
    </xf>
    <xf numFmtId="179" fontId="0" fillId="0" borderId="1" xfId="3" applyNumberFormat="1" applyFont="1" applyBorder="1">
      <alignment vertical="center"/>
    </xf>
    <xf numFmtId="179" fontId="6" fillId="0" borderId="0" xfId="3" applyNumberFormat="1" applyFont="1" applyAlignment="1">
      <alignment horizontal="center" vertical="center"/>
    </xf>
    <xf numFmtId="179" fontId="6" fillId="0" borderId="0" xfId="3" applyNumberFormat="1" applyFont="1" applyAlignment="1">
      <alignment horizontal="center"/>
    </xf>
    <xf numFmtId="178" fontId="6" fillId="0" borderId="0" xfId="0" applyNumberFormat="1" applyFont="1" applyAlignment="1">
      <alignment horizontal="center" vertical="center"/>
    </xf>
    <xf numFmtId="41" fontId="0" fillId="0" borderId="1" xfId="3" applyNumberFormat="1" applyFont="1" applyBorder="1">
      <alignment vertical="center"/>
    </xf>
    <xf numFmtId="178" fontId="6" fillId="0" borderId="1" xfId="4" applyNumberFormat="1" applyFont="1" applyBorder="1" applyAlignment="1">
      <alignment horizontal="center" vertical="center"/>
    </xf>
    <xf numFmtId="42" fontId="6" fillId="0" borderId="1" xfId="4" applyFont="1" applyBorder="1" applyAlignment="1">
      <alignment horizontal="center" vertical="center"/>
    </xf>
    <xf numFmtId="180" fontId="6" fillId="0" borderId="1" xfId="4" applyNumberFormat="1" applyFont="1" applyBorder="1" applyAlignment="1">
      <alignment horizontal="center" vertical="center"/>
    </xf>
    <xf numFmtId="18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left" vertical="center"/>
    </xf>
    <xf numFmtId="0" fontId="0" fillId="0" borderId="0" xfId="0" applyNumberFormat="1" applyFont="1">
      <alignment vertical="center"/>
    </xf>
    <xf numFmtId="0" fontId="6" fillId="0" borderId="0" xfId="0" applyFont="1" applyAlignment="1">
      <alignment horizontal="left" vertical="center"/>
    </xf>
    <xf numFmtId="179" fontId="6" fillId="0" borderId="0" xfId="0" applyNumberFormat="1" applyFont="1" applyAlignment="1">
      <alignment horizontal="center" vertical="center"/>
    </xf>
    <xf numFmtId="42" fontId="6" fillId="0" borderId="0" xfId="0" applyNumberFormat="1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41" fontId="6" fillId="0" borderId="1" xfId="3" applyFont="1" applyBorder="1">
      <alignment vertical="center"/>
    </xf>
    <xf numFmtId="9" fontId="6" fillId="0" borderId="1" xfId="0" applyNumberFormat="1" applyFont="1" applyBorder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182" fontId="6" fillId="0" borderId="1" xfId="3" applyNumberFormat="1" applyFont="1" applyFill="1" applyBorder="1" applyAlignment="1">
      <alignment horizontal="right" vertical="center"/>
    </xf>
    <xf numFmtId="183" fontId="6" fillId="0" borderId="1" xfId="3" applyNumberFormat="1" applyFont="1" applyFill="1" applyBorder="1" applyAlignment="1">
      <alignment horizontal="right" vertical="center"/>
    </xf>
    <xf numFmtId="9" fontId="8" fillId="0" borderId="1" xfId="5" applyFont="1" applyFill="1" applyBorder="1" applyAlignment="1">
      <alignment horizontal="right" vertical="center"/>
    </xf>
    <xf numFmtId="0" fontId="6" fillId="0" borderId="1" xfId="4" applyNumberFormat="1" applyFont="1" applyFill="1" applyBorder="1" applyAlignment="1">
      <alignment vertical="center"/>
    </xf>
    <xf numFmtId="14" fontId="6" fillId="0" borderId="0" xfId="0" applyNumberFormat="1" applyFont="1" applyAlignment="1">
      <alignment horizontal="center"/>
    </xf>
    <xf numFmtId="41" fontId="6" fillId="0" borderId="0" xfId="3" applyFont="1" applyAlignment="1"/>
    <xf numFmtId="14" fontId="6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41" fontId="6" fillId="2" borderId="1" xfId="3" applyFont="1" applyFill="1" applyBorder="1" applyAlignment="1">
      <alignment horizontal="center"/>
    </xf>
    <xf numFmtId="0" fontId="6" fillId="2" borderId="1" xfId="0" applyFont="1" applyFill="1" applyBorder="1" applyAlignment="1"/>
    <xf numFmtId="14" fontId="6" fillId="0" borderId="1" xfId="0" applyNumberFormat="1" applyFont="1" applyBorder="1" applyAlignment="1">
      <alignment horizontal="center"/>
    </xf>
    <xf numFmtId="0" fontId="13" fillId="3" borderId="1" xfId="6" applyFont="1" applyFill="1" applyBorder="1" applyAlignment="1">
      <alignment horizontal="center"/>
    </xf>
    <xf numFmtId="0" fontId="13" fillId="0" borderId="1" xfId="6" applyFont="1" applyFill="1" applyBorder="1" applyAlignment="1">
      <alignment horizontal="center" wrapText="1"/>
    </xf>
    <xf numFmtId="184" fontId="13" fillId="0" borderId="1" xfId="6" applyNumberFormat="1" applyFont="1" applyFill="1" applyBorder="1" applyAlignment="1">
      <alignment horizontal="center" wrapText="1"/>
    </xf>
    <xf numFmtId="185" fontId="0" fillId="0" borderId="0" xfId="0" applyNumberFormat="1">
      <alignment vertical="center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/>
    </xf>
  </cellXfs>
  <cellStyles count="7">
    <cellStyle name="백분율" xfId="5" builtinId="5"/>
    <cellStyle name="백분율 2" xfId="2" xr:uid="{00000000-0005-0000-0000-000001000000}"/>
    <cellStyle name="쉼표 [0]" xfId="3" builtinId="6"/>
    <cellStyle name="통화 [0]" xfId="4" builtinId="7"/>
    <cellStyle name="표준" xfId="0" builtinId="0"/>
    <cellStyle name="표준 2" xfId="1" xr:uid="{00000000-0005-0000-0000-000005000000}"/>
    <cellStyle name="표준_기본작업-3" xfId="6" xr:uid="{00000000-0005-0000-0000-000006000000}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판매 현황 분석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'기타작업-1'!$E$2</c:f>
              <c:strCache>
                <c:ptCount val="1"/>
                <c:pt idx="0">
                  <c:v>판매량</c:v>
                </c:pt>
              </c:strCache>
            </c:strRef>
          </c:tx>
          <c:invertIfNegative val="0"/>
          <c:cat>
            <c:strRef>
              <c:f>('기타작업-1'!$B$3:$B$4,'기타작업-1'!$B$6,'기타작업-1'!$B$8:$B$10)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잉크</c:v>
                </c:pt>
                <c:pt idx="3">
                  <c:v>사이펜</c:v>
                </c:pt>
                <c:pt idx="4">
                  <c:v>지우개</c:v>
                </c:pt>
                <c:pt idx="5">
                  <c:v>수정액</c:v>
                </c:pt>
              </c:strCache>
            </c:strRef>
          </c:cat>
          <c:val>
            <c:numRef>
              <c:f>('기타작업-1'!$E$3:$E$4,'기타작업-1'!$E$6,'기타작업-1'!$E$8:$E$10)</c:f>
              <c:numCache>
                <c:formatCode>#,##0_);[Red]\(#,##0\)</c:formatCode>
                <c:ptCount val="6"/>
                <c:pt idx="0">
                  <c:v>880</c:v>
                </c:pt>
                <c:pt idx="1">
                  <c:v>560</c:v>
                </c:pt>
                <c:pt idx="2">
                  <c:v>540</c:v>
                </c:pt>
                <c:pt idx="3">
                  <c:v>540</c:v>
                </c:pt>
                <c:pt idx="4">
                  <c:v>800</c:v>
                </c:pt>
                <c:pt idx="5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35-4C38-968A-7425577C810B}"/>
            </c:ext>
          </c:extLst>
        </c:ser>
        <c:ser>
          <c:idx val="0"/>
          <c:order val="1"/>
          <c:tx>
            <c:strRef>
              <c:f>'기타작업-1'!$D$2</c:f>
              <c:strCache>
                <c:ptCount val="1"/>
                <c:pt idx="0">
                  <c:v>목표량</c:v>
                </c:pt>
              </c:strCache>
            </c:strRef>
          </c:tx>
          <c:invertIfNegative val="0"/>
          <c:cat>
            <c:strRef>
              <c:f>('기타작업-1'!$B$3:$B$4,'기타작업-1'!$B$6,'기타작업-1'!$B$8:$B$10)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잉크</c:v>
                </c:pt>
                <c:pt idx="3">
                  <c:v>사이펜</c:v>
                </c:pt>
                <c:pt idx="4">
                  <c:v>지우개</c:v>
                </c:pt>
                <c:pt idx="5">
                  <c:v>수정액</c:v>
                </c:pt>
              </c:strCache>
            </c:strRef>
          </c:cat>
          <c:val>
            <c:numRef>
              <c:f>('기타작업-1'!$D$3:$D$4,'기타작업-1'!$D$6,'기타작업-1'!$D$8:$D$10)</c:f>
              <c:numCache>
                <c:formatCode>#,##0_);[Red]\(#,##0\)</c:formatCode>
                <c:ptCount val="6"/>
                <c:pt idx="0">
                  <c:v>800</c:v>
                </c:pt>
                <c:pt idx="1">
                  <c:v>600</c:v>
                </c:pt>
                <c:pt idx="2">
                  <c:v>500</c:v>
                </c:pt>
                <c:pt idx="3">
                  <c:v>450</c:v>
                </c:pt>
                <c:pt idx="4">
                  <c:v>600</c:v>
                </c:pt>
                <c:pt idx="5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35-4C38-968A-7425577C8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20"/>
        <c:axId val="185925632"/>
        <c:axId val="184254464"/>
      </c:barChart>
      <c:catAx>
        <c:axId val="185925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품목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84254464"/>
        <c:crosses val="autoZero"/>
        <c:auto val="1"/>
        <c:lblAlgn val="ctr"/>
        <c:lblOffset val="100"/>
        <c:noMultiLvlLbl val="0"/>
      </c:catAx>
      <c:valAx>
        <c:axId val="184254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판매량</a:t>
                </a:r>
              </a:p>
            </c:rich>
          </c:tx>
          <c:overlay val="0"/>
        </c:title>
        <c:numFmt formatCode="#,##0_);[Red]\(#,##0\)" sourceLinked="1"/>
        <c:majorTickMark val="out"/>
        <c:minorTickMark val="none"/>
        <c:tickLblPos val="nextTo"/>
        <c:crossAx val="18592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666750</xdr:colOff>
      <xdr:row>5</xdr:row>
      <xdr:rowOff>190500</xdr:rowOff>
    </xdr:from>
    <xdr:to>
      <xdr:col>14</xdr:col>
      <xdr:colOff>552450</xdr:colOff>
      <xdr:row>11</xdr:row>
      <xdr:rowOff>104775</xdr:rowOff>
    </xdr:to>
    <xdr:sp macro="" textlink="">
      <xdr:nvSpPr>
        <xdr:cNvPr id="2" name="웃는 얼굴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677400" y="1619250"/>
          <a:ext cx="1943100" cy="16287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11</xdr:row>
      <xdr:rowOff>38099</xdr:rowOff>
    </xdr:from>
    <xdr:to>
      <xdr:col>7</xdr:col>
      <xdr:colOff>0</xdr:colOff>
      <xdr:row>26</xdr:row>
      <xdr:rowOff>47624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657225</xdr:colOff>
      <xdr:row>11</xdr:row>
      <xdr:rowOff>123825</xdr:rowOff>
    </xdr:from>
    <xdr:to>
      <xdr:col>6</xdr:col>
      <xdr:colOff>66675</xdr:colOff>
      <xdr:row>13</xdr:row>
      <xdr:rowOff>190500</xdr:rowOff>
    </xdr:to>
    <xdr:sp macro="" textlink="">
      <xdr:nvSpPr>
        <xdr:cNvPr id="3" name="위쪽 리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343025" y="2428875"/>
          <a:ext cx="3419475" cy="485775"/>
        </a:xfrm>
        <a:prstGeom prst="ribbon2">
          <a:avLst/>
        </a:prstGeom>
        <a:noFill/>
        <a:ln w="285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14</xdr:row>
      <xdr:rowOff>0</xdr:rowOff>
    </xdr:from>
    <xdr:to>
      <xdr:col>6</xdr:col>
      <xdr:colOff>0</xdr:colOff>
      <xdr:row>16</xdr:row>
      <xdr:rowOff>0</xdr:rowOff>
    </xdr:to>
    <xdr:sp macro="[0]!목표값" textlink="">
      <xdr:nvSpPr>
        <xdr:cNvPr id="2" name="웃는 얼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590925" y="3057525"/>
          <a:ext cx="1085850" cy="4191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아이콘표시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0</xdr:row>
          <xdr:rowOff>142875</xdr:rowOff>
        </xdr:from>
        <xdr:to>
          <xdr:col>6</xdr:col>
          <xdr:colOff>800100</xdr:colOff>
          <xdr:row>2</xdr:row>
          <xdr:rowOff>104775</xdr:rowOff>
        </xdr:to>
        <xdr:sp macro="" textlink="">
          <xdr:nvSpPr>
            <xdr:cNvPr id="5121" name="cmd예약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cam" refreshedDate="44072.499585069447" createdVersion="6" refreshedVersion="6" minRefreshableVersion="3" recordCount="50" xr:uid="{00000000-000A-0000-FFFF-FFFF00000000}">
  <cacheSource type="external" connectionId="2"/>
  <cacheFields count="13">
    <cacheField name="번호" numFmtId="0" sqlType="8">
      <sharedItems containsSemiMixedTypes="0" containsString="0" containsNumber="1" containsInteger="1" minValue="1" maxValue="50" count="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</sharedItems>
      <fieldGroup base="0">
        <rangePr autoStart="0" autoEnd="0" startNum="5" endNum="50" groupInterval="10"/>
        <groupItems count="7">
          <s v="&lt;5"/>
          <s v="5-14"/>
          <s v="15-24"/>
          <s v="25-34"/>
          <s v="35-44"/>
          <s v="45-54"/>
          <s v="&gt;55"/>
        </groupItems>
      </fieldGroup>
    </cacheField>
    <cacheField name="이름" numFmtId="0" sqlType="-9">
      <sharedItems/>
    </cacheField>
    <cacheField name="구분" numFmtId="0" sqlType="-9">
      <sharedItems count="5">
        <s v="전문대졸"/>
        <s v="대졸"/>
        <s v="대재"/>
        <s v="직업학교"/>
        <s v="경력"/>
      </sharedItems>
    </cacheField>
    <cacheField name="고사장" numFmtId="0" sqlType="-9">
      <sharedItems count="9">
        <s v="영동1시험장"/>
        <s v="부산1시험장"/>
        <s v="영동2시험장"/>
        <s v="울산1시험장"/>
        <s v="부산2시험장"/>
        <s v="강남1시험장"/>
        <s v="강남2시험장"/>
        <s v="대전2시험장"/>
        <s v="강서2시험장"/>
      </sharedItems>
      <fieldGroup par="12"/>
    </cacheField>
    <cacheField name="DB" numFmtId="0" sqlType="8">
      <sharedItems containsSemiMixedTypes="0" containsString="0" containsNumber="1" containsInteger="1" minValue="35" maxValue="100"/>
    </cacheField>
    <cacheField name="전산구조" numFmtId="0" sqlType="8">
      <sharedItems containsSemiMixedTypes="0" containsString="0" containsNumber="1" containsInteger="1" minValue="36" maxValue="100"/>
    </cacheField>
    <cacheField name="운영체제" numFmtId="0" sqlType="8">
      <sharedItems containsSemiMixedTypes="0" containsString="0" containsNumber="1" containsInteger="1" minValue="36" maxValue="100"/>
    </cacheField>
    <cacheField name="SW공학" numFmtId="0" sqlType="8">
      <sharedItems containsSemiMixedTypes="0" containsString="0" containsNumber="1" containsInteger="1" minValue="35" maxValue="97"/>
    </cacheField>
    <cacheField name="데이터통신" numFmtId="0" sqlType="8">
      <sharedItems containsSemiMixedTypes="0" containsString="0" containsNumber="1" containsInteger="1" minValue="37" maxValue="97"/>
    </cacheField>
    <cacheField name="합계" numFmtId="0" sqlType="8">
      <sharedItems containsSemiMixedTypes="0" containsString="0" containsNumber="1" containsInteger="1" minValue="212" maxValue="428"/>
    </cacheField>
    <cacheField name="평균" numFmtId="0" sqlType="8">
      <sharedItems containsSemiMixedTypes="0" containsString="0" containsNumber="1" minValue="42.4" maxValue="85.6"/>
    </cacheField>
    <cacheField name="비고" numFmtId="0" sqlType="-9">
      <sharedItems count="3">
        <s v="과락"/>
        <s v="합격"/>
        <s v="불합격"/>
      </sharedItems>
    </cacheField>
    <cacheField name="고사장2" numFmtId="0" databaseField="0">
      <fieldGroup base="3">
        <discretePr count="9">
          <x v="1"/>
          <x v="1"/>
          <x v="1"/>
          <x v="1"/>
          <x v="1"/>
          <x v="0"/>
          <x v="0"/>
          <x v="0"/>
          <x v="0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s v="강아선"/>
    <x v="0"/>
    <x v="0"/>
    <n v="71"/>
    <n v="64"/>
    <n v="91"/>
    <n v="35"/>
    <n v="97"/>
    <n v="358"/>
    <n v="71.599999999999994"/>
    <x v="0"/>
  </r>
  <r>
    <x v="1"/>
    <s v="강자유"/>
    <x v="1"/>
    <x v="1"/>
    <n v="70"/>
    <n v="89"/>
    <n v="65"/>
    <n v="53"/>
    <n v="38"/>
    <n v="315"/>
    <n v="63"/>
    <x v="0"/>
  </r>
  <r>
    <x v="2"/>
    <s v="강차선"/>
    <x v="2"/>
    <x v="0"/>
    <n v="53"/>
    <n v="87"/>
    <n v="95"/>
    <n v="93"/>
    <n v="55"/>
    <n v="383"/>
    <n v="76.599999999999994"/>
    <x v="1"/>
  </r>
  <r>
    <x v="3"/>
    <s v="계숙희"/>
    <x v="3"/>
    <x v="1"/>
    <n v="59"/>
    <n v="77"/>
    <n v="89"/>
    <n v="80"/>
    <n v="50"/>
    <n v="355"/>
    <n v="71"/>
    <x v="1"/>
  </r>
  <r>
    <x v="4"/>
    <s v="기하수"/>
    <x v="4"/>
    <x v="2"/>
    <n v="54"/>
    <n v="40"/>
    <n v="47"/>
    <n v="91"/>
    <n v="63"/>
    <n v="295"/>
    <n v="59"/>
    <x v="2"/>
  </r>
  <r>
    <x v="5"/>
    <s v="김래혁"/>
    <x v="0"/>
    <x v="2"/>
    <n v="100"/>
    <n v="38"/>
    <n v="100"/>
    <n v="51"/>
    <n v="91"/>
    <n v="380"/>
    <n v="76"/>
    <x v="0"/>
  </r>
  <r>
    <x v="6"/>
    <s v="김미수"/>
    <x v="1"/>
    <x v="2"/>
    <n v="87"/>
    <n v="54"/>
    <n v="64"/>
    <n v="92"/>
    <n v="54"/>
    <n v="351"/>
    <n v="70.2"/>
    <x v="1"/>
  </r>
  <r>
    <x v="7"/>
    <s v="김부여"/>
    <x v="2"/>
    <x v="2"/>
    <n v="97"/>
    <n v="88"/>
    <n v="81"/>
    <n v="77"/>
    <n v="53"/>
    <n v="396"/>
    <n v="79.2"/>
    <x v="1"/>
  </r>
  <r>
    <x v="8"/>
    <s v="김사우"/>
    <x v="2"/>
    <x v="0"/>
    <n v="59"/>
    <n v="41"/>
    <n v="100"/>
    <n v="77"/>
    <n v="54"/>
    <n v="331"/>
    <n v="66.2"/>
    <x v="1"/>
  </r>
  <r>
    <x v="9"/>
    <s v="박순여"/>
    <x v="3"/>
    <x v="2"/>
    <n v="68"/>
    <n v="77"/>
    <n v="52"/>
    <n v="54"/>
    <n v="64"/>
    <n v="315"/>
    <n v="63"/>
    <x v="1"/>
  </r>
  <r>
    <x v="10"/>
    <s v="박자선"/>
    <x v="4"/>
    <x v="3"/>
    <n v="40"/>
    <n v="96"/>
    <n v="46"/>
    <n v="97"/>
    <n v="70"/>
    <n v="349"/>
    <n v="69.8"/>
    <x v="1"/>
  </r>
  <r>
    <x v="11"/>
    <s v="박차열"/>
    <x v="0"/>
    <x v="0"/>
    <n v="99"/>
    <n v="91"/>
    <n v="97"/>
    <n v="62"/>
    <n v="79"/>
    <n v="428"/>
    <n v="85.6"/>
    <x v="1"/>
  </r>
  <r>
    <x v="12"/>
    <s v="신황우"/>
    <x v="4"/>
    <x v="2"/>
    <n v="78"/>
    <n v="74"/>
    <n v="38"/>
    <n v="60"/>
    <n v="42"/>
    <n v="292"/>
    <n v="58.4"/>
    <x v="2"/>
  </r>
  <r>
    <x v="13"/>
    <s v="안가우"/>
    <x v="0"/>
    <x v="2"/>
    <n v="44"/>
    <n v="81"/>
    <n v="58"/>
    <n v="45"/>
    <n v="37"/>
    <n v="265"/>
    <n v="53"/>
    <x v="2"/>
  </r>
  <r>
    <x v="14"/>
    <s v="안다여"/>
    <x v="1"/>
    <x v="1"/>
    <n v="82"/>
    <n v="72"/>
    <n v="36"/>
    <n v="73"/>
    <n v="76"/>
    <n v="339"/>
    <n v="67.8"/>
    <x v="0"/>
  </r>
  <r>
    <x v="15"/>
    <s v="안황수"/>
    <x v="2"/>
    <x v="4"/>
    <n v="48"/>
    <n v="36"/>
    <n v="92"/>
    <n v="88"/>
    <n v="79"/>
    <n v="343"/>
    <n v="68.599999999999994"/>
    <x v="0"/>
  </r>
  <r>
    <x v="16"/>
    <s v="양선수"/>
    <x v="2"/>
    <x v="2"/>
    <n v="64"/>
    <n v="60"/>
    <n v="88"/>
    <n v="56"/>
    <n v="62"/>
    <n v="330"/>
    <n v="66"/>
    <x v="1"/>
  </r>
  <r>
    <x v="17"/>
    <s v="양선야"/>
    <x v="3"/>
    <x v="4"/>
    <n v="68"/>
    <n v="57"/>
    <n v="69"/>
    <n v="79"/>
    <n v="42"/>
    <n v="315"/>
    <n v="63"/>
    <x v="1"/>
  </r>
  <r>
    <x v="18"/>
    <s v="양아여"/>
    <x v="4"/>
    <x v="4"/>
    <n v="36"/>
    <n v="53"/>
    <n v="53"/>
    <n v="68"/>
    <n v="69"/>
    <n v="279"/>
    <n v="55.8"/>
    <x v="2"/>
  </r>
  <r>
    <x v="19"/>
    <s v="양자수"/>
    <x v="0"/>
    <x v="0"/>
    <n v="50"/>
    <n v="46"/>
    <n v="57"/>
    <n v="87"/>
    <n v="81"/>
    <n v="321"/>
    <n v="64.2"/>
    <x v="1"/>
  </r>
  <r>
    <x v="20"/>
    <s v="양자우"/>
    <x v="1"/>
    <x v="4"/>
    <n v="69"/>
    <n v="47"/>
    <n v="42"/>
    <n v="89"/>
    <n v="41"/>
    <n v="288"/>
    <n v="57.6"/>
    <x v="2"/>
  </r>
  <r>
    <x v="21"/>
    <s v="여다어"/>
    <x v="2"/>
    <x v="4"/>
    <n v="59"/>
    <n v="41"/>
    <n v="98"/>
    <n v="89"/>
    <n v="87"/>
    <n v="374"/>
    <n v="74.8"/>
    <x v="1"/>
  </r>
  <r>
    <x v="22"/>
    <s v="여미수"/>
    <x v="3"/>
    <x v="5"/>
    <n v="55"/>
    <n v="100"/>
    <n v="96"/>
    <n v="85"/>
    <n v="86"/>
    <n v="422"/>
    <n v="84.4"/>
    <x v="1"/>
  </r>
  <r>
    <x v="23"/>
    <s v="여아우"/>
    <x v="4"/>
    <x v="6"/>
    <n v="43"/>
    <n v="41"/>
    <n v="56"/>
    <n v="57"/>
    <n v="74"/>
    <n v="271"/>
    <n v="54.2"/>
    <x v="2"/>
  </r>
  <r>
    <x v="24"/>
    <s v="우황우"/>
    <x v="0"/>
    <x v="6"/>
    <n v="92"/>
    <n v="83"/>
    <n v="72"/>
    <n v="91"/>
    <n v="74"/>
    <n v="412"/>
    <n v="82.4"/>
    <x v="1"/>
  </r>
  <r>
    <x v="25"/>
    <s v="유자수"/>
    <x v="1"/>
    <x v="6"/>
    <n v="57"/>
    <n v="84"/>
    <n v="61"/>
    <n v="85"/>
    <n v="40"/>
    <n v="327"/>
    <n v="65.400000000000006"/>
    <x v="1"/>
  </r>
  <r>
    <x v="26"/>
    <s v="유자열"/>
    <x v="2"/>
    <x v="7"/>
    <n v="65"/>
    <n v="74"/>
    <n v="95"/>
    <n v="88"/>
    <n v="82"/>
    <n v="404"/>
    <n v="80.8"/>
    <x v="1"/>
  </r>
  <r>
    <x v="27"/>
    <s v="유황우"/>
    <x v="2"/>
    <x v="6"/>
    <n v="39"/>
    <n v="90"/>
    <n v="85"/>
    <n v="67"/>
    <n v="77"/>
    <n v="358"/>
    <n v="71.599999999999994"/>
    <x v="0"/>
  </r>
  <r>
    <x v="28"/>
    <s v="이가경"/>
    <x v="3"/>
    <x v="0"/>
    <n v="55"/>
    <n v="95"/>
    <n v="92"/>
    <n v="41"/>
    <n v="91"/>
    <n v="374"/>
    <n v="74.8"/>
    <x v="1"/>
  </r>
  <r>
    <x v="29"/>
    <s v="이나하"/>
    <x v="4"/>
    <x v="1"/>
    <n v="61"/>
    <n v="69"/>
    <n v="79"/>
    <n v="70"/>
    <n v="85"/>
    <n v="364"/>
    <n v="72.8"/>
    <x v="1"/>
  </r>
  <r>
    <x v="30"/>
    <s v="이다미"/>
    <x v="0"/>
    <x v="1"/>
    <n v="51"/>
    <n v="79"/>
    <n v="98"/>
    <n v="86"/>
    <n v="82"/>
    <n v="396"/>
    <n v="79.2"/>
    <x v="1"/>
  </r>
  <r>
    <x v="31"/>
    <s v="이라희"/>
    <x v="4"/>
    <x v="5"/>
    <n v="59"/>
    <n v="39"/>
    <n v="98"/>
    <n v="57"/>
    <n v="46"/>
    <n v="299"/>
    <n v="59.8"/>
    <x v="2"/>
  </r>
  <r>
    <x v="32"/>
    <s v="임아열"/>
    <x v="0"/>
    <x v="7"/>
    <n v="51"/>
    <n v="97"/>
    <n v="55"/>
    <n v="37"/>
    <n v="67"/>
    <n v="307"/>
    <n v="61.4"/>
    <x v="0"/>
  </r>
  <r>
    <x v="33"/>
    <s v="장다선"/>
    <x v="1"/>
    <x v="5"/>
    <n v="58"/>
    <n v="70"/>
    <n v="80"/>
    <n v="52"/>
    <n v="42"/>
    <n v="302"/>
    <n v="60.4"/>
    <x v="1"/>
  </r>
  <r>
    <x v="34"/>
    <s v="장마우"/>
    <x v="3"/>
    <x v="5"/>
    <n v="91"/>
    <n v="70"/>
    <n v="54"/>
    <n v="85"/>
    <n v="93"/>
    <n v="393"/>
    <n v="78.599999999999994"/>
    <x v="1"/>
  </r>
  <r>
    <x v="35"/>
    <s v="장미여"/>
    <x v="4"/>
    <x v="8"/>
    <n v="44"/>
    <n v="93"/>
    <n v="87"/>
    <n v="60"/>
    <n v="58"/>
    <n v="342"/>
    <n v="68.400000000000006"/>
    <x v="1"/>
  </r>
  <r>
    <x v="36"/>
    <s v="장차우"/>
    <x v="0"/>
    <x v="8"/>
    <n v="61"/>
    <n v="70"/>
    <n v="66"/>
    <n v="73"/>
    <n v="58"/>
    <n v="328"/>
    <n v="65.599999999999994"/>
    <x v="1"/>
  </r>
  <r>
    <x v="37"/>
    <s v="전아열"/>
    <x v="1"/>
    <x v="8"/>
    <n v="80"/>
    <n v="65"/>
    <n v="49"/>
    <n v="68"/>
    <n v="55"/>
    <n v="317"/>
    <n v="63.4"/>
    <x v="1"/>
  </r>
  <r>
    <x v="38"/>
    <s v="전자순"/>
    <x v="2"/>
    <x v="0"/>
    <n v="35"/>
    <n v="57"/>
    <n v="86"/>
    <n v="93"/>
    <n v="52"/>
    <n v="323"/>
    <n v="64.599999999999994"/>
    <x v="0"/>
  </r>
  <r>
    <x v="39"/>
    <s v="전하희"/>
    <x v="2"/>
    <x v="0"/>
    <n v="38"/>
    <n v="49"/>
    <n v="66"/>
    <n v="77"/>
    <n v="49"/>
    <n v="279"/>
    <n v="55.8"/>
    <x v="2"/>
  </r>
  <r>
    <x v="40"/>
    <s v="정황여"/>
    <x v="3"/>
    <x v="7"/>
    <n v="63"/>
    <n v="74"/>
    <n v="82"/>
    <n v="72"/>
    <n v="74"/>
    <n v="365"/>
    <n v="73"/>
    <x v="1"/>
  </r>
  <r>
    <x v="41"/>
    <s v="최하순"/>
    <x v="4"/>
    <x v="7"/>
    <n v="75"/>
    <n v="57"/>
    <n v="75"/>
    <n v="86"/>
    <n v="92"/>
    <n v="385"/>
    <n v="77"/>
    <x v="1"/>
  </r>
  <r>
    <x v="42"/>
    <s v="최황선"/>
    <x v="0"/>
    <x v="3"/>
    <n v="86"/>
    <n v="96"/>
    <n v="81"/>
    <n v="94"/>
    <n v="47"/>
    <n v="404"/>
    <n v="80.8"/>
    <x v="1"/>
  </r>
  <r>
    <x v="43"/>
    <s v="최황우"/>
    <x v="4"/>
    <x v="7"/>
    <n v="62"/>
    <n v="51"/>
    <n v="64"/>
    <n v="91"/>
    <n v="41"/>
    <n v="309"/>
    <n v="61.8"/>
    <x v="1"/>
  </r>
  <r>
    <x v="44"/>
    <s v="홍미경"/>
    <x v="0"/>
    <x v="3"/>
    <n v="45"/>
    <n v="38"/>
    <n v="42"/>
    <n v="47"/>
    <n v="40"/>
    <n v="212"/>
    <n v="42.4"/>
    <x v="2"/>
  </r>
  <r>
    <x v="45"/>
    <s v="홍자경"/>
    <x v="1"/>
    <x v="3"/>
    <n v="94"/>
    <n v="88"/>
    <n v="50"/>
    <n v="71"/>
    <n v="88"/>
    <n v="391"/>
    <n v="78.2"/>
    <x v="1"/>
  </r>
  <r>
    <x v="46"/>
    <s v="홍차희"/>
    <x v="2"/>
    <x v="4"/>
    <n v="98"/>
    <n v="74"/>
    <n v="63"/>
    <n v="95"/>
    <n v="65"/>
    <n v="395"/>
    <n v="79"/>
    <x v="1"/>
  </r>
  <r>
    <x v="47"/>
    <s v="황가희"/>
    <x v="2"/>
    <x v="0"/>
    <n v="37"/>
    <n v="59"/>
    <n v="71"/>
    <n v="81"/>
    <n v="61"/>
    <n v="309"/>
    <n v="61.8"/>
    <x v="0"/>
  </r>
  <r>
    <x v="48"/>
    <s v="황나유"/>
    <x v="3"/>
    <x v="0"/>
    <n v="86"/>
    <n v="98"/>
    <n v="63"/>
    <n v="62"/>
    <n v="58"/>
    <n v="367"/>
    <n v="73.400000000000006"/>
    <x v="1"/>
  </r>
  <r>
    <x v="49"/>
    <s v="황하희"/>
    <x v="4"/>
    <x v="8"/>
    <n v="90"/>
    <n v="98"/>
    <n v="80"/>
    <n v="54"/>
    <n v="91"/>
    <n v="413"/>
    <n v="82.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A3:I18" firstHeaderRow="1" firstDataRow="2" firstDataCol="2" rowPageCount="1" colPageCount="1"/>
  <pivotFields count="13">
    <pivotField axis="axisCol" compact="0" subtotalTop="0" showAll="0" sortType="descending">
      <items count="8">
        <item x="0"/>
        <item x="1"/>
        <item x="2"/>
        <item x="3"/>
        <item x="4"/>
        <item x="5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/>
    <pivotField axis="axisPage" compact="0" subtotalTop="0" showAll="0">
      <items count="6">
        <item x="4"/>
        <item x="2"/>
        <item x="1"/>
        <item x="0"/>
        <item x="3"/>
        <item t="default"/>
      </items>
    </pivotField>
    <pivotField axis="axisRow" compact="0" subtotalTop="0" showAll="0">
      <items count="10">
        <item x="5"/>
        <item x="6"/>
        <item x="8"/>
        <item x="7"/>
        <item x="1"/>
        <item x="4"/>
        <item x="0"/>
        <item x="2"/>
        <item x="3"/>
        <item t="default"/>
      </items>
    </pivotField>
    <pivotField compact="0" subtotalTop="0" showAll="0"/>
    <pivotField compact="0" subtotalTop="0" showAll="0"/>
    <pivotField compact="0" subtotalTop="0" showAll="0"/>
    <pivotField compact="0" subtotalTop="0" showAll="0"/>
    <pivotField compact="0" subtotalTop="0" showAll="0"/>
    <pivotField dataField="1" compact="0" subtotalTop="0" showAll="0"/>
    <pivotField compact="0" subtotalTop="0" showAll="0"/>
    <pivotField compact="0" subtotalTop="0" showAll="0"/>
    <pivotField name="고사장 구분" axis="axisRow" compact="0" subtotalTop="0" showAll="0">
      <items count="3">
        <item n="중부" x="0"/>
        <item n="남부" x="1"/>
        <item t="default"/>
      </items>
    </pivotField>
  </pivotFields>
  <rowFields count="2">
    <field x="12"/>
    <field x="3"/>
  </rowFields>
  <rowItems count="14">
    <i>
      <x/>
    </i>
    <i r="1">
      <x/>
    </i>
    <i r="1">
      <x v="1"/>
    </i>
    <i r="1">
      <x v="2"/>
    </i>
    <i r="1">
      <x v="3"/>
    </i>
    <i t="default">
      <x/>
    </i>
    <i>
      <x v="1"/>
    </i>
    <i r="1">
      <x v="4"/>
    </i>
    <i r="1">
      <x v="5"/>
    </i>
    <i r="1">
      <x v="6"/>
    </i>
    <i r="1">
      <x v="7"/>
    </i>
    <i r="1">
      <x v="8"/>
    </i>
    <i t="default">
      <x v="1"/>
    </i>
    <i t="grand">
      <x/>
    </i>
  </rowItems>
  <colFields count="1">
    <field x="0"/>
  </colFields>
  <colItems count="7">
    <i>
      <x v="3"/>
    </i>
    <i>
      <x v="4"/>
    </i>
    <i>
      <x v="1"/>
    </i>
    <i>
      <x v="2"/>
    </i>
    <i>
      <x v="5"/>
    </i>
    <i>
      <x/>
    </i>
    <i t="grand">
      <x/>
    </i>
  </colItems>
  <pageFields count="1">
    <pageField fld="2" hier="-1"/>
  </pageFields>
  <dataFields count="1">
    <dataField name="합계 : 합계" fld="9" baseField="3" baseItem="0" numFmtId="185"/>
  </dataField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" connectionId="3" xr16:uid="{00000000-0016-0000-0000-000000000000}" autoFormatId="16" applyNumberFormats="0" applyBorderFormats="0" applyFontFormats="1" applyPatternFormats="1" applyAlignmentFormats="0" applyWidthHeightFormats="0">
  <queryTableRefresh nextId="10">
    <queryTableFields count="8">
      <queryTableField id="2" name="구분"/>
      <queryTableField id="1" name="학번"/>
      <queryTableField id="3" name="전공"/>
      <queryTableField id="8" dataBound="0" fillFormulas="1"/>
      <queryTableField id="7" dataBound="0" fillFormulas="1"/>
      <queryTableField id="4" dataBound="0" fillFormulas="1"/>
      <queryTableField id="5" dataBound="0" fillFormulas="1"/>
      <queryTableField id="6" name="비고"/>
    </queryTableFields>
    <queryTableDeletedFields count="2">
      <deletedField name="평균"/>
      <deletedField name="평점"/>
    </queryTableDeletedFields>
    <sortState ref="A4:F25">
      <sortCondition ref="A3"/>
    </sortState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44"/>
  <sheetViews>
    <sheetView workbookViewId="0">
      <selection activeCell="I19" sqref="I19"/>
    </sheetView>
  </sheetViews>
  <sheetFormatPr defaultRowHeight="16.5"/>
  <cols>
    <col min="1" max="1" width="3.125" style="7" customWidth="1"/>
    <col min="2" max="2" width="9.25" style="2" customWidth="1"/>
    <col min="3" max="3" width="11.125" style="2" customWidth="1"/>
    <col min="4" max="4" width="8.375" style="2" customWidth="1"/>
    <col min="5" max="5" width="7.75" style="2" customWidth="1"/>
    <col min="6" max="7" width="8" style="2" customWidth="1"/>
    <col min="8" max="8" width="7.25" style="2" customWidth="1"/>
    <col min="9" max="9" width="7.125" style="2" customWidth="1"/>
    <col min="10" max="10" width="8.125" style="2" customWidth="1"/>
    <col min="11" max="11" width="4.625" style="7" customWidth="1"/>
    <col min="12" max="12" width="9" style="7"/>
    <col min="13" max="13" width="11.125" style="7" bestFit="1" customWidth="1"/>
    <col min="14" max="16384" width="9" style="8"/>
  </cols>
  <sheetData>
    <row r="1" spans="2:20">
      <c r="B1" s="2" t="s">
        <v>1</v>
      </c>
    </row>
    <row r="2" spans="2:20">
      <c r="B2" s="17" t="s">
        <v>28</v>
      </c>
      <c r="C2" s="17" t="s">
        <v>2</v>
      </c>
      <c r="D2" s="17" t="s">
        <v>3</v>
      </c>
      <c r="E2" s="20" t="s">
        <v>23</v>
      </c>
      <c r="F2" s="20" t="s">
        <v>24</v>
      </c>
      <c r="G2" s="20" t="s">
        <v>25</v>
      </c>
      <c r="H2" s="20" t="s">
        <v>26</v>
      </c>
      <c r="I2" s="17" t="s">
        <v>4</v>
      </c>
      <c r="J2" s="21" t="s">
        <v>27</v>
      </c>
    </row>
    <row r="3" spans="2:20">
      <c r="B3" s="19">
        <v>1</v>
      </c>
      <c r="C3" s="18">
        <v>36834</v>
      </c>
      <c r="D3" s="19" t="s">
        <v>5</v>
      </c>
      <c r="E3" s="5">
        <v>90</v>
      </c>
      <c r="F3" s="5">
        <v>80</v>
      </c>
      <c r="G3" s="5">
        <v>80</v>
      </c>
      <c r="H3" s="5">
        <v>80</v>
      </c>
      <c r="I3" s="19" t="s">
        <v>6</v>
      </c>
      <c r="J3" s="22">
        <f>SUM(E3:H3)</f>
        <v>330</v>
      </c>
      <c r="M3" s="45"/>
      <c r="N3" s="45"/>
      <c r="O3" s="45"/>
      <c r="P3" s="45"/>
      <c r="Q3" s="45"/>
      <c r="R3" s="45"/>
      <c r="S3" s="45"/>
      <c r="T3" s="45"/>
    </row>
    <row r="4" spans="2:20">
      <c r="B4" s="19">
        <v>2</v>
      </c>
      <c r="C4" s="18">
        <v>37138</v>
      </c>
      <c r="D4" s="19" t="s">
        <v>7</v>
      </c>
      <c r="E4" s="5">
        <v>80</v>
      </c>
      <c r="F4" s="5">
        <v>21</v>
      </c>
      <c r="G4" s="5">
        <v>70</v>
      </c>
      <c r="H4" s="5">
        <v>80</v>
      </c>
      <c r="I4" s="19" t="s">
        <v>6</v>
      </c>
      <c r="J4" s="22">
        <f t="shared" ref="J4:J25" si="0">SUM(E4:H4)</f>
        <v>251</v>
      </c>
      <c r="M4" s="45"/>
      <c r="N4" s="45"/>
      <c r="O4" s="45"/>
      <c r="P4" s="45"/>
      <c r="Q4" s="45"/>
      <c r="R4" s="45"/>
      <c r="S4" s="45"/>
      <c r="T4" s="45"/>
    </row>
    <row r="5" spans="2:20">
      <c r="B5" s="19">
        <v>3</v>
      </c>
      <c r="C5" s="18">
        <v>36863</v>
      </c>
      <c r="D5" s="19" t="s">
        <v>8</v>
      </c>
      <c r="E5" s="5">
        <v>80</v>
      </c>
      <c r="F5" s="5">
        <v>90</v>
      </c>
      <c r="G5" s="5">
        <v>100</v>
      </c>
      <c r="H5" s="5">
        <v>90</v>
      </c>
      <c r="I5" s="19" t="s">
        <v>6</v>
      </c>
      <c r="J5" s="22">
        <f t="shared" si="0"/>
        <v>360</v>
      </c>
      <c r="M5" s="45"/>
      <c r="N5" s="45"/>
      <c r="O5" s="45"/>
      <c r="P5" s="45"/>
      <c r="Q5" s="45"/>
      <c r="R5" s="45"/>
      <c r="S5" s="45"/>
      <c r="T5" s="45"/>
    </row>
    <row r="6" spans="2:20">
      <c r="B6" s="19">
        <v>4</v>
      </c>
      <c r="C6" s="18">
        <v>37167</v>
      </c>
      <c r="D6" s="19" t="s">
        <v>9</v>
      </c>
      <c r="E6" s="5">
        <v>79</v>
      </c>
      <c r="F6" s="5">
        <v>43</v>
      </c>
      <c r="G6" s="5">
        <v>60</v>
      </c>
      <c r="H6" s="5">
        <v>80</v>
      </c>
      <c r="I6" s="19" t="s">
        <v>6</v>
      </c>
      <c r="J6" s="22">
        <f t="shared" si="0"/>
        <v>262</v>
      </c>
      <c r="M6" s="45"/>
      <c r="N6" s="45"/>
      <c r="O6" s="45"/>
      <c r="P6" s="45"/>
      <c r="Q6" s="45"/>
      <c r="R6" s="45"/>
      <c r="S6" s="45"/>
      <c r="T6" s="45"/>
    </row>
    <row r="7" spans="2:20">
      <c r="B7" s="19">
        <v>5</v>
      </c>
      <c r="C7" s="18">
        <v>36864</v>
      </c>
      <c r="D7" s="19" t="s">
        <v>10</v>
      </c>
      <c r="E7" s="5">
        <v>21</v>
      </c>
      <c r="F7" s="5">
        <v>63</v>
      </c>
      <c r="G7" s="5">
        <v>10</v>
      </c>
      <c r="H7" s="5">
        <v>100</v>
      </c>
      <c r="I7" s="19" t="s">
        <v>11</v>
      </c>
      <c r="J7" s="22">
        <f t="shared" si="0"/>
        <v>194</v>
      </c>
      <c r="M7" s="45"/>
      <c r="N7" s="45"/>
      <c r="O7" s="45"/>
      <c r="P7" s="45"/>
      <c r="Q7" s="45"/>
      <c r="R7" s="45"/>
      <c r="S7" s="45"/>
      <c r="T7" s="45"/>
    </row>
    <row r="8" spans="2:20">
      <c r="B8" s="19">
        <v>6</v>
      </c>
      <c r="C8" s="18">
        <v>36905</v>
      </c>
      <c r="D8" s="19" t="s">
        <v>12</v>
      </c>
      <c r="E8" s="5">
        <v>0</v>
      </c>
      <c r="F8" s="5">
        <v>53</v>
      </c>
      <c r="G8" s="5">
        <v>10</v>
      </c>
      <c r="H8" s="5">
        <v>20</v>
      </c>
      <c r="I8" s="19" t="s">
        <v>11</v>
      </c>
      <c r="J8" s="22">
        <f t="shared" si="0"/>
        <v>83</v>
      </c>
      <c r="M8" s="45"/>
      <c r="N8" s="45"/>
      <c r="O8" s="45"/>
      <c r="P8" s="45"/>
      <c r="Q8" s="45"/>
      <c r="R8" s="45"/>
      <c r="S8" s="45"/>
      <c r="T8" s="45"/>
    </row>
    <row r="9" spans="2:20">
      <c r="B9" s="19">
        <v>7</v>
      </c>
      <c r="C9" s="18">
        <v>36892</v>
      </c>
      <c r="D9" s="19" t="s">
        <v>13</v>
      </c>
      <c r="E9" s="5">
        <v>90</v>
      </c>
      <c r="F9" s="5">
        <v>100</v>
      </c>
      <c r="G9" s="5">
        <v>90</v>
      </c>
      <c r="H9" s="5">
        <v>100</v>
      </c>
      <c r="I9" s="19" t="s">
        <v>6</v>
      </c>
      <c r="J9" s="22">
        <f t="shared" si="0"/>
        <v>380</v>
      </c>
      <c r="M9" s="45"/>
      <c r="N9" s="45"/>
      <c r="O9" s="45"/>
      <c r="P9" s="45"/>
      <c r="Q9" s="45"/>
      <c r="R9" s="45"/>
      <c r="S9" s="45"/>
      <c r="T9" s="45"/>
    </row>
    <row r="10" spans="2:20">
      <c r="B10" s="19">
        <v>8</v>
      </c>
      <c r="C10" s="18">
        <v>36894</v>
      </c>
      <c r="D10" s="19" t="s">
        <v>14</v>
      </c>
      <c r="E10" s="5">
        <v>0</v>
      </c>
      <c r="F10" s="5">
        <v>40</v>
      </c>
      <c r="G10" s="5">
        <v>10</v>
      </c>
      <c r="H10" s="5">
        <v>50</v>
      </c>
      <c r="I10" s="19" t="s">
        <v>6</v>
      </c>
      <c r="J10" s="22">
        <f t="shared" si="0"/>
        <v>100</v>
      </c>
      <c r="M10" s="45"/>
      <c r="N10" s="45"/>
      <c r="O10" s="45"/>
      <c r="P10" s="45"/>
      <c r="Q10" s="45"/>
      <c r="R10" s="45"/>
      <c r="S10" s="45"/>
      <c r="T10" s="45"/>
    </row>
    <row r="11" spans="2:20">
      <c r="B11" s="19">
        <v>9</v>
      </c>
      <c r="C11" s="18">
        <v>36895</v>
      </c>
      <c r="D11" s="19" t="s">
        <v>13</v>
      </c>
      <c r="E11" s="5">
        <v>100</v>
      </c>
      <c r="F11" s="5">
        <v>100</v>
      </c>
      <c r="G11" s="5">
        <v>90</v>
      </c>
      <c r="H11" s="5">
        <v>85</v>
      </c>
      <c r="I11" s="19" t="s">
        <v>6</v>
      </c>
      <c r="J11" s="22">
        <f t="shared" si="0"/>
        <v>375</v>
      </c>
      <c r="M11" s="45"/>
      <c r="N11" s="45"/>
      <c r="O11" s="45"/>
      <c r="P11" s="45"/>
      <c r="Q11" s="45"/>
      <c r="R11" s="45"/>
      <c r="S11" s="45"/>
      <c r="T11" s="45"/>
    </row>
    <row r="12" spans="2:20">
      <c r="B12" s="19">
        <v>10</v>
      </c>
      <c r="C12" s="18">
        <v>37135</v>
      </c>
      <c r="D12" s="19" t="s">
        <v>15</v>
      </c>
      <c r="E12" s="5">
        <v>80</v>
      </c>
      <c r="F12" s="5">
        <v>50</v>
      </c>
      <c r="G12" s="5">
        <v>0</v>
      </c>
      <c r="H12" s="5">
        <v>20</v>
      </c>
      <c r="I12" s="19" t="s">
        <v>6</v>
      </c>
      <c r="J12" s="22">
        <f t="shared" si="0"/>
        <v>150</v>
      </c>
      <c r="M12" s="45"/>
      <c r="N12" s="45"/>
      <c r="O12" s="45"/>
      <c r="P12" s="45"/>
      <c r="Q12" s="45"/>
      <c r="R12" s="45"/>
      <c r="S12" s="45"/>
      <c r="T12" s="45"/>
    </row>
    <row r="13" spans="2:20">
      <c r="B13" s="19">
        <v>11</v>
      </c>
      <c r="C13" s="18">
        <v>37165</v>
      </c>
      <c r="D13" s="19" t="s">
        <v>16</v>
      </c>
      <c r="E13" s="5">
        <v>79</v>
      </c>
      <c r="F13" s="5">
        <v>25</v>
      </c>
      <c r="G13" s="5">
        <v>1</v>
      </c>
      <c r="H13" s="5">
        <v>40</v>
      </c>
      <c r="I13" s="19" t="s">
        <v>6</v>
      </c>
      <c r="J13" s="22">
        <f t="shared" si="0"/>
        <v>145</v>
      </c>
      <c r="M13" s="45"/>
      <c r="N13" s="45"/>
      <c r="O13" s="45"/>
      <c r="P13" s="45"/>
      <c r="Q13" s="45"/>
      <c r="R13" s="45"/>
      <c r="S13" s="45"/>
      <c r="T13" s="45"/>
    </row>
    <row r="14" spans="2:20">
      <c r="B14" s="19">
        <v>12</v>
      </c>
      <c r="C14" s="18">
        <v>37182</v>
      </c>
      <c r="D14" s="19" t="s">
        <v>17</v>
      </c>
      <c r="E14" s="5">
        <v>90</v>
      </c>
      <c r="F14" s="5">
        <v>90</v>
      </c>
      <c r="G14" s="5">
        <v>90</v>
      </c>
      <c r="H14" s="5">
        <v>20</v>
      </c>
      <c r="I14" s="19" t="s">
        <v>6</v>
      </c>
      <c r="J14" s="22">
        <f t="shared" si="0"/>
        <v>290</v>
      </c>
      <c r="M14" s="45"/>
    </row>
    <row r="15" spans="2:20">
      <c r="B15" s="19">
        <v>13</v>
      </c>
      <c r="C15" s="18">
        <v>37198</v>
      </c>
      <c r="D15" s="19" t="s">
        <v>18</v>
      </c>
      <c r="E15" s="5">
        <v>57</v>
      </c>
      <c r="F15" s="5">
        <v>0</v>
      </c>
      <c r="G15" s="5">
        <v>1</v>
      </c>
      <c r="H15" s="5">
        <v>10</v>
      </c>
      <c r="I15" s="19" t="s">
        <v>6</v>
      </c>
      <c r="J15" s="22">
        <f t="shared" si="0"/>
        <v>68</v>
      </c>
      <c r="M15" s="45"/>
    </row>
    <row r="16" spans="2:20">
      <c r="B16" s="19">
        <v>14</v>
      </c>
      <c r="C16" s="18">
        <v>37228</v>
      </c>
      <c r="D16" s="19" t="s">
        <v>18</v>
      </c>
      <c r="E16" s="5">
        <v>46</v>
      </c>
      <c r="F16" s="5">
        <v>0</v>
      </c>
      <c r="G16" s="5">
        <v>1</v>
      </c>
      <c r="H16" s="5">
        <v>20</v>
      </c>
      <c r="I16" s="19" t="s">
        <v>6</v>
      </c>
      <c r="J16" s="22">
        <f t="shared" si="0"/>
        <v>67</v>
      </c>
      <c r="M16" s="45"/>
    </row>
    <row r="17" spans="2:10">
      <c r="B17" s="19">
        <v>15</v>
      </c>
      <c r="C17" s="18">
        <v>37199</v>
      </c>
      <c r="D17" s="19" t="s">
        <v>18</v>
      </c>
      <c r="E17" s="5">
        <v>100</v>
      </c>
      <c r="F17" s="5">
        <v>100</v>
      </c>
      <c r="G17" s="5">
        <v>80</v>
      </c>
      <c r="H17" s="5">
        <v>90</v>
      </c>
      <c r="I17" s="19" t="s">
        <v>6</v>
      </c>
      <c r="J17" s="22">
        <f t="shared" si="0"/>
        <v>370</v>
      </c>
    </row>
    <row r="18" spans="2:10">
      <c r="B18" s="19">
        <v>16</v>
      </c>
      <c r="C18" s="18">
        <v>37806</v>
      </c>
      <c r="D18" s="19" t="s">
        <v>18</v>
      </c>
      <c r="E18" s="5">
        <v>100</v>
      </c>
      <c r="F18" s="5">
        <v>100</v>
      </c>
      <c r="G18" s="5">
        <v>80</v>
      </c>
      <c r="H18" s="5">
        <v>80</v>
      </c>
      <c r="I18" s="19" t="s">
        <v>19</v>
      </c>
      <c r="J18" s="22">
        <f t="shared" si="0"/>
        <v>360</v>
      </c>
    </row>
    <row r="19" spans="2:10">
      <c r="B19" s="19">
        <v>17</v>
      </c>
      <c r="C19" s="18">
        <v>37227</v>
      </c>
      <c r="D19" s="19" t="s">
        <v>20</v>
      </c>
      <c r="E19" s="5">
        <v>3</v>
      </c>
      <c r="F19" s="5">
        <v>0</v>
      </c>
      <c r="G19" s="5">
        <v>80</v>
      </c>
      <c r="H19" s="5">
        <v>50</v>
      </c>
      <c r="I19" s="19" t="s">
        <v>6</v>
      </c>
      <c r="J19" s="22">
        <f t="shared" si="0"/>
        <v>133</v>
      </c>
    </row>
    <row r="20" spans="2:10">
      <c r="B20" s="19">
        <v>18</v>
      </c>
      <c r="C20" s="18">
        <v>37229</v>
      </c>
      <c r="D20" s="19" t="s">
        <v>20</v>
      </c>
      <c r="E20" s="5">
        <v>57</v>
      </c>
      <c r="F20" s="5">
        <v>0</v>
      </c>
      <c r="G20" s="5">
        <v>80</v>
      </c>
      <c r="H20" s="5">
        <v>10</v>
      </c>
      <c r="I20" s="19" t="s">
        <v>6</v>
      </c>
      <c r="J20" s="22">
        <f t="shared" si="0"/>
        <v>147</v>
      </c>
    </row>
    <row r="21" spans="2:10">
      <c r="B21" s="19">
        <v>19</v>
      </c>
      <c r="C21" s="18">
        <v>37439</v>
      </c>
      <c r="D21" s="19" t="s">
        <v>21</v>
      </c>
      <c r="E21" s="5">
        <v>68</v>
      </c>
      <c r="F21" s="5">
        <v>0</v>
      </c>
      <c r="G21" s="5">
        <v>24</v>
      </c>
      <c r="H21" s="5">
        <v>20</v>
      </c>
      <c r="I21" s="19" t="s">
        <v>6</v>
      </c>
      <c r="J21" s="22">
        <f t="shared" si="0"/>
        <v>112</v>
      </c>
    </row>
    <row r="22" spans="2:10">
      <c r="B22" s="19">
        <v>20</v>
      </c>
      <c r="C22" s="18">
        <v>37469</v>
      </c>
      <c r="D22" s="19" t="s">
        <v>22</v>
      </c>
      <c r="E22" s="5">
        <v>79</v>
      </c>
      <c r="F22" s="5">
        <v>0</v>
      </c>
      <c r="G22" s="5">
        <v>79</v>
      </c>
      <c r="H22" s="5">
        <v>30</v>
      </c>
      <c r="I22" s="19" t="s">
        <v>6</v>
      </c>
      <c r="J22" s="22">
        <f t="shared" si="0"/>
        <v>188</v>
      </c>
    </row>
    <row r="23" spans="2:10">
      <c r="B23" s="19">
        <v>21</v>
      </c>
      <c r="C23" s="18">
        <v>37471</v>
      </c>
      <c r="D23" s="19" t="s">
        <v>22</v>
      </c>
      <c r="E23" s="5">
        <v>80</v>
      </c>
      <c r="F23" s="5">
        <v>90</v>
      </c>
      <c r="G23" s="5">
        <v>88</v>
      </c>
      <c r="H23" s="5">
        <v>90</v>
      </c>
      <c r="I23" s="19" t="s">
        <v>6</v>
      </c>
      <c r="J23" s="22">
        <f t="shared" si="0"/>
        <v>348</v>
      </c>
    </row>
    <row r="24" spans="2:10">
      <c r="B24" s="19">
        <v>22</v>
      </c>
      <c r="C24" s="18">
        <v>37591</v>
      </c>
      <c r="D24" s="19" t="s">
        <v>20</v>
      </c>
      <c r="E24" s="5">
        <v>79</v>
      </c>
      <c r="F24" s="5">
        <v>0</v>
      </c>
      <c r="G24" s="5">
        <v>25</v>
      </c>
      <c r="H24" s="5">
        <v>50</v>
      </c>
      <c r="I24" s="19" t="s">
        <v>6</v>
      </c>
      <c r="J24" s="22">
        <f t="shared" si="0"/>
        <v>154</v>
      </c>
    </row>
    <row r="25" spans="2:10">
      <c r="B25" s="19">
        <v>23</v>
      </c>
      <c r="C25" s="18">
        <v>37601</v>
      </c>
      <c r="D25" s="19" t="s">
        <v>20</v>
      </c>
      <c r="E25" s="5">
        <v>58</v>
      </c>
      <c r="F25" s="5">
        <v>0</v>
      </c>
      <c r="G25" s="5">
        <v>45</v>
      </c>
      <c r="H25" s="5">
        <v>80</v>
      </c>
      <c r="I25" s="19" t="s">
        <v>6</v>
      </c>
      <c r="J25" s="22">
        <f t="shared" si="0"/>
        <v>183</v>
      </c>
    </row>
    <row r="26" spans="2:10">
      <c r="F26"/>
      <c r="G26"/>
      <c r="H26"/>
      <c r="I26"/>
    </row>
    <row r="29" spans="2:10">
      <c r="G29" s="2" t="s">
        <v>340</v>
      </c>
    </row>
    <row r="30" spans="2:10">
      <c r="B30" s="17" t="s">
        <v>2</v>
      </c>
      <c r="C30" s="17" t="s">
        <v>4</v>
      </c>
      <c r="D30" s="21" t="s">
        <v>339</v>
      </c>
      <c r="G30" s="2" t="s">
        <v>341</v>
      </c>
      <c r="H30" s="2" t="s">
        <v>342</v>
      </c>
      <c r="I30" s="2" t="s">
        <v>343</v>
      </c>
    </row>
    <row r="31" spans="2:10">
      <c r="B31" s="2" t="s">
        <v>337</v>
      </c>
      <c r="C31" s="2" t="s">
        <v>338</v>
      </c>
      <c r="G31" s="2" t="b">
        <f>C3&lt;="2001-12-31"</f>
        <v>1</v>
      </c>
      <c r="H31" s="2" t="b">
        <f>I3&lt;&gt;"취업"</f>
        <v>0</v>
      </c>
    </row>
    <row r="32" spans="2:10">
      <c r="D32" s="2" t="b">
        <f>_xlfn.RANK.EQ(J3,$J$3:$J$25)&lt;=5</f>
        <v>0</v>
      </c>
      <c r="I32" s="2" t="b">
        <f>_xlfn.RANK.EQ(J3,$J$3:$J$25)&lt;=5</f>
        <v>0</v>
      </c>
    </row>
    <row r="37" spans="2:10">
      <c r="B37" s="17" t="s">
        <v>28</v>
      </c>
      <c r="C37" s="17" t="s">
        <v>2</v>
      </c>
      <c r="D37" s="17" t="s">
        <v>3</v>
      </c>
      <c r="E37" s="20" t="s">
        <v>23</v>
      </c>
      <c r="F37" s="20" t="s">
        <v>24</v>
      </c>
      <c r="G37" s="20" t="s">
        <v>25</v>
      </c>
      <c r="H37" s="20" t="s">
        <v>26</v>
      </c>
      <c r="I37" s="17" t="s">
        <v>4</v>
      </c>
      <c r="J37" s="21" t="s">
        <v>27</v>
      </c>
    </row>
    <row r="38" spans="2:10">
      <c r="B38" s="19">
        <v>3</v>
      </c>
      <c r="C38" s="18">
        <v>36863</v>
      </c>
      <c r="D38" s="19" t="s">
        <v>8</v>
      </c>
      <c r="E38" s="5">
        <v>80</v>
      </c>
      <c r="F38" s="5">
        <v>90</v>
      </c>
      <c r="G38" s="5">
        <v>100</v>
      </c>
      <c r="H38" s="5">
        <v>90</v>
      </c>
      <c r="I38" s="19" t="s">
        <v>6</v>
      </c>
      <c r="J38" s="22">
        <v>360</v>
      </c>
    </row>
    <row r="39" spans="2:10">
      <c r="B39" s="19">
        <v>5</v>
      </c>
      <c r="C39" s="18">
        <v>36864</v>
      </c>
      <c r="D39" s="19" t="s">
        <v>10</v>
      </c>
      <c r="E39" s="5">
        <v>21</v>
      </c>
      <c r="F39" s="5">
        <v>63</v>
      </c>
      <c r="G39" s="5">
        <v>10</v>
      </c>
      <c r="H39" s="5">
        <v>100</v>
      </c>
      <c r="I39" s="19" t="s">
        <v>11</v>
      </c>
      <c r="J39" s="22">
        <v>194</v>
      </c>
    </row>
    <row r="40" spans="2:10">
      <c r="B40" s="19">
        <v>6</v>
      </c>
      <c r="C40" s="18">
        <v>36905</v>
      </c>
      <c r="D40" s="19" t="s">
        <v>12</v>
      </c>
      <c r="E40" s="5">
        <v>0</v>
      </c>
      <c r="F40" s="5">
        <v>53</v>
      </c>
      <c r="G40" s="5">
        <v>10</v>
      </c>
      <c r="H40" s="5">
        <v>20</v>
      </c>
      <c r="I40" s="19" t="s">
        <v>11</v>
      </c>
      <c r="J40" s="22">
        <v>83</v>
      </c>
    </row>
    <row r="41" spans="2:10">
      <c r="B41" s="19">
        <v>7</v>
      </c>
      <c r="C41" s="18">
        <v>36892</v>
      </c>
      <c r="D41" s="19" t="s">
        <v>13</v>
      </c>
      <c r="E41" s="5">
        <v>90</v>
      </c>
      <c r="F41" s="5">
        <v>100</v>
      </c>
      <c r="G41" s="5">
        <v>90</v>
      </c>
      <c r="H41" s="5">
        <v>100</v>
      </c>
      <c r="I41" s="19" t="s">
        <v>6</v>
      </c>
      <c r="J41" s="22">
        <v>380</v>
      </c>
    </row>
    <row r="42" spans="2:10">
      <c r="B42" s="19">
        <v>9</v>
      </c>
      <c r="C42" s="18">
        <v>36895</v>
      </c>
      <c r="D42" s="19" t="s">
        <v>13</v>
      </c>
      <c r="E42" s="5">
        <v>100</v>
      </c>
      <c r="F42" s="5">
        <v>100</v>
      </c>
      <c r="G42" s="5">
        <v>90</v>
      </c>
      <c r="H42" s="5">
        <v>85</v>
      </c>
      <c r="I42" s="19" t="s">
        <v>6</v>
      </c>
      <c r="J42" s="22">
        <v>375</v>
      </c>
    </row>
    <row r="43" spans="2:10">
      <c r="B43" s="19">
        <v>15</v>
      </c>
      <c r="C43" s="18">
        <v>37199</v>
      </c>
      <c r="D43" s="19" t="s">
        <v>18</v>
      </c>
      <c r="E43" s="5">
        <v>100</v>
      </c>
      <c r="F43" s="5">
        <v>100</v>
      </c>
      <c r="G43" s="5">
        <v>80</v>
      </c>
      <c r="H43" s="5">
        <v>90</v>
      </c>
      <c r="I43" s="19" t="s">
        <v>6</v>
      </c>
      <c r="J43" s="22">
        <v>370</v>
      </c>
    </row>
    <row r="44" spans="2:10">
      <c r="B44" s="19">
        <v>16</v>
      </c>
      <c r="C44" s="18">
        <v>37806</v>
      </c>
      <c r="D44" s="19" t="s">
        <v>18</v>
      </c>
      <c r="E44" s="5">
        <v>100</v>
      </c>
      <c r="F44" s="5">
        <v>100</v>
      </c>
      <c r="G44" s="5">
        <v>80</v>
      </c>
      <c r="H44" s="5">
        <v>80</v>
      </c>
      <c r="I44" s="19" t="s">
        <v>19</v>
      </c>
      <c r="J44" s="22">
        <v>360</v>
      </c>
    </row>
  </sheetData>
  <phoneticPr fontId="1" type="noConversion"/>
  <conditionalFormatting sqref="J3:J25">
    <cfRule type="expression" dxfId="0" priority="1">
      <formula>AND(MOD($B3,3)=0,COUNTIF($E3:$H3,"&gt;=80")=4)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2:J60"/>
  <sheetViews>
    <sheetView workbookViewId="0">
      <selection activeCell="H9" sqref="H9"/>
    </sheetView>
  </sheetViews>
  <sheetFormatPr defaultRowHeight="22.5" customHeight="1"/>
  <cols>
    <col min="5" max="5" width="17" customWidth="1"/>
    <col min="9" max="9" width="14.25" customWidth="1"/>
    <col min="10" max="10" width="15" customWidth="1"/>
  </cols>
  <sheetData>
    <row r="2" spans="2:10" ht="22.5" customHeight="1">
      <c r="B2" s="67" t="s">
        <v>144</v>
      </c>
      <c r="C2" s="67" t="s">
        <v>145</v>
      </c>
      <c r="D2" s="67" t="s">
        <v>146</v>
      </c>
      <c r="E2" s="67" t="s">
        <v>147</v>
      </c>
      <c r="F2" s="67" t="s">
        <v>148</v>
      </c>
      <c r="G2" s="67" t="s">
        <v>149</v>
      </c>
      <c r="H2" s="67" t="s">
        <v>150</v>
      </c>
      <c r="I2" s="67" t="s">
        <v>151</v>
      </c>
      <c r="J2" s="67" t="s">
        <v>152</v>
      </c>
    </row>
    <row r="3" spans="2:10" ht="22.5" customHeight="1">
      <c r="B3" s="68" t="s">
        <v>153</v>
      </c>
      <c r="C3" s="68">
        <v>80</v>
      </c>
      <c r="D3" s="68">
        <v>70</v>
      </c>
      <c r="E3" s="68">
        <f t="shared" ref="E3:E34" si="0">C3+D3</f>
        <v>150</v>
      </c>
      <c r="F3" s="68" t="s">
        <v>154</v>
      </c>
      <c r="G3" s="68">
        <v>2004</v>
      </c>
      <c r="H3" s="68" t="s">
        <v>155</v>
      </c>
      <c r="I3" s="69">
        <v>40179</v>
      </c>
      <c r="J3" s="68" t="s">
        <v>156</v>
      </c>
    </row>
    <row r="4" spans="2:10" ht="22.5" customHeight="1">
      <c r="B4" s="68" t="s">
        <v>157</v>
      </c>
      <c r="C4" s="68">
        <v>90</v>
      </c>
      <c r="D4" s="68">
        <v>80</v>
      </c>
      <c r="E4" s="68">
        <f t="shared" si="0"/>
        <v>170</v>
      </c>
      <c r="F4" s="68" t="s">
        <v>158</v>
      </c>
      <c r="G4" s="68">
        <v>2004</v>
      </c>
      <c r="H4" s="68" t="s">
        <v>155</v>
      </c>
      <c r="I4" s="69">
        <v>39083</v>
      </c>
      <c r="J4" s="68" t="s">
        <v>159</v>
      </c>
    </row>
    <row r="5" spans="2:10" ht="22.5" customHeight="1">
      <c r="B5" s="68" t="s">
        <v>160</v>
      </c>
      <c r="C5" s="68">
        <v>60</v>
      </c>
      <c r="D5" s="68">
        <v>60</v>
      </c>
      <c r="E5" s="68">
        <f t="shared" si="0"/>
        <v>120</v>
      </c>
      <c r="F5" s="68" t="s">
        <v>161</v>
      </c>
      <c r="G5" s="68">
        <v>2004</v>
      </c>
      <c r="H5" s="68" t="s">
        <v>155</v>
      </c>
      <c r="I5" s="69">
        <v>39965</v>
      </c>
      <c r="J5" s="68" t="s">
        <v>162</v>
      </c>
    </row>
    <row r="6" spans="2:10" ht="22.5" customHeight="1">
      <c r="B6" s="68" t="s">
        <v>163</v>
      </c>
      <c r="C6" s="68">
        <v>80</v>
      </c>
      <c r="D6" s="68">
        <v>90</v>
      </c>
      <c r="E6" s="68">
        <f t="shared" si="0"/>
        <v>170</v>
      </c>
      <c r="F6" s="68" t="s">
        <v>158</v>
      </c>
      <c r="G6" s="68">
        <v>2003</v>
      </c>
      <c r="H6" s="68" t="s">
        <v>164</v>
      </c>
      <c r="I6" s="69">
        <v>39814</v>
      </c>
      <c r="J6" s="68" t="s">
        <v>165</v>
      </c>
    </row>
    <row r="7" spans="2:10" ht="22.5" customHeight="1">
      <c r="B7" s="68" t="s">
        <v>163</v>
      </c>
      <c r="C7" s="68">
        <v>90</v>
      </c>
      <c r="D7" s="68" t="s">
        <v>166</v>
      </c>
      <c r="E7" s="68" t="e">
        <f t="shared" si="0"/>
        <v>#VALUE!</v>
      </c>
      <c r="F7" s="68" t="s">
        <v>167</v>
      </c>
      <c r="G7" s="68">
        <v>2004</v>
      </c>
      <c r="H7" s="68" t="s">
        <v>164</v>
      </c>
      <c r="I7" s="69">
        <v>39814</v>
      </c>
      <c r="J7" s="68" t="s">
        <v>165</v>
      </c>
    </row>
    <row r="8" spans="2:10" ht="22.5" customHeight="1">
      <c r="B8" s="68" t="s">
        <v>168</v>
      </c>
      <c r="C8" s="68">
        <v>75</v>
      </c>
      <c r="D8" s="68">
        <v>50</v>
      </c>
      <c r="E8" s="68">
        <f t="shared" si="0"/>
        <v>125</v>
      </c>
      <c r="F8" s="68" t="s">
        <v>161</v>
      </c>
      <c r="G8" s="68">
        <v>2004</v>
      </c>
      <c r="H8" s="68" t="s">
        <v>164</v>
      </c>
      <c r="I8" s="69">
        <v>38687</v>
      </c>
      <c r="J8" s="68" t="s">
        <v>169</v>
      </c>
    </row>
    <row r="9" spans="2:10" ht="22.5" customHeight="1">
      <c r="B9" s="68" t="s">
        <v>170</v>
      </c>
      <c r="C9" s="68">
        <v>80</v>
      </c>
      <c r="D9" s="68">
        <v>60</v>
      </c>
      <c r="E9" s="68">
        <f t="shared" si="0"/>
        <v>140</v>
      </c>
      <c r="F9" s="68" t="s">
        <v>154</v>
      </c>
      <c r="G9" s="68">
        <v>2004</v>
      </c>
      <c r="H9" s="68" t="s">
        <v>164</v>
      </c>
      <c r="I9" s="69">
        <v>36526</v>
      </c>
      <c r="J9" s="68" t="s">
        <v>171</v>
      </c>
    </row>
    <row r="10" spans="2:10" ht="22.5" customHeight="1">
      <c r="B10" s="68" t="s">
        <v>172</v>
      </c>
      <c r="C10" s="68">
        <v>85</v>
      </c>
      <c r="D10" s="68">
        <v>80</v>
      </c>
      <c r="E10" s="68">
        <f t="shared" si="0"/>
        <v>165</v>
      </c>
      <c r="F10" s="68" t="s">
        <v>158</v>
      </c>
      <c r="G10" s="68">
        <v>2004</v>
      </c>
      <c r="H10" s="68" t="s">
        <v>164</v>
      </c>
      <c r="I10" s="69">
        <v>39814</v>
      </c>
      <c r="J10" s="68" t="s">
        <v>173</v>
      </c>
    </row>
    <row r="11" spans="2:10" ht="22.5" customHeight="1">
      <c r="B11" s="68" t="s">
        <v>174</v>
      </c>
      <c r="C11" s="68">
        <v>60</v>
      </c>
      <c r="D11" s="68">
        <v>55</v>
      </c>
      <c r="E11" s="68">
        <f t="shared" si="0"/>
        <v>115</v>
      </c>
      <c r="F11" s="68" t="s">
        <v>175</v>
      </c>
      <c r="G11" s="68">
        <v>2004</v>
      </c>
      <c r="H11" s="68" t="s">
        <v>164</v>
      </c>
      <c r="I11" s="69">
        <v>39814</v>
      </c>
      <c r="J11" s="68" t="s">
        <v>176</v>
      </c>
    </row>
    <row r="12" spans="2:10" ht="22.5" customHeight="1">
      <c r="B12" s="68" t="s">
        <v>177</v>
      </c>
      <c r="C12" s="68">
        <v>40</v>
      </c>
      <c r="D12" s="68" t="s">
        <v>166</v>
      </c>
      <c r="E12" s="68" t="e">
        <f t="shared" si="0"/>
        <v>#VALUE!</v>
      </c>
      <c r="F12" s="68" t="s">
        <v>161</v>
      </c>
      <c r="G12" s="68">
        <v>2004</v>
      </c>
      <c r="H12" s="68" t="s">
        <v>164</v>
      </c>
      <c r="I12" s="69">
        <v>40544</v>
      </c>
      <c r="J12" s="68" t="s">
        <v>178</v>
      </c>
    </row>
    <row r="13" spans="2:10" ht="22.5" customHeight="1">
      <c r="B13" s="68" t="s">
        <v>179</v>
      </c>
      <c r="C13" s="68">
        <v>20</v>
      </c>
      <c r="D13" s="68">
        <v>80</v>
      </c>
      <c r="E13" s="68">
        <f t="shared" si="0"/>
        <v>100</v>
      </c>
      <c r="F13" s="68" t="s">
        <v>175</v>
      </c>
      <c r="G13" s="68">
        <v>2004</v>
      </c>
      <c r="H13" s="68" t="s">
        <v>180</v>
      </c>
      <c r="I13" s="69">
        <v>40148</v>
      </c>
      <c r="J13" s="68" t="s">
        <v>181</v>
      </c>
    </row>
    <row r="14" spans="2:10" ht="22.5" customHeight="1">
      <c r="B14" s="68" t="s">
        <v>182</v>
      </c>
      <c r="C14" s="68">
        <v>80</v>
      </c>
      <c r="D14" s="68">
        <v>70</v>
      </c>
      <c r="E14" s="68">
        <f t="shared" si="0"/>
        <v>150</v>
      </c>
      <c r="F14" s="68" t="s">
        <v>154</v>
      </c>
      <c r="G14" s="68">
        <v>2004</v>
      </c>
      <c r="H14" s="68" t="s">
        <v>180</v>
      </c>
      <c r="I14" s="69">
        <v>39814</v>
      </c>
      <c r="J14" s="68" t="s">
        <v>183</v>
      </c>
    </row>
    <row r="15" spans="2:10" ht="22.5" customHeight="1">
      <c r="B15" s="68" t="s">
        <v>184</v>
      </c>
      <c r="C15" s="68">
        <v>90</v>
      </c>
      <c r="D15" s="68">
        <v>90</v>
      </c>
      <c r="E15" s="68">
        <f t="shared" si="0"/>
        <v>180</v>
      </c>
      <c r="F15" s="68" t="s">
        <v>167</v>
      </c>
      <c r="G15" s="68">
        <v>2004</v>
      </c>
      <c r="H15" s="68" t="s">
        <v>180</v>
      </c>
      <c r="I15" s="69">
        <v>39814</v>
      </c>
      <c r="J15" s="68" t="s">
        <v>185</v>
      </c>
    </row>
    <row r="16" spans="2:10" ht="22.5" customHeight="1">
      <c r="B16" s="68" t="s">
        <v>186</v>
      </c>
      <c r="C16" s="68">
        <v>95</v>
      </c>
      <c r="D16" s="68">
        <v>50</v>
      </c>
      <c r="E16" s="68">
        <f t="shared" si="0"/>
        <v>145</v>
      </c>
      <c r="F16" s="68" t="s">
        <v>154</v>
      </c>
      <c r="G16" s="68">
        <v>2003</v>
      </c>
      <c r="H16" s="68" t="s">
        <v>180</v>
      </c>
      <c r="I16" s="69">
        <v>39814</v>
      </c>
      <c r="J16" s="68" t="s">
        <v>187</v>
      </c>
    </row>
    <row r="17" spans="2:10" ht="22.5" customHeight="1">
      <c r="B17" s="68" t="s">
        <v>188</v>
      </c>
      <c r="C17" s="68">
        <v>85</v>
      </c>
      <c r="D17" s="68">
        <v>65</v>
      </c>
      <c r="E17" s="68">
        <f t="shared" si="0"/>
        <v>150</v>
      </c>
      <c r="F17" s="68" t="s">
        <v>154</v>
      </c>
      <c r="G17" s="68">
        <v>2004</v>
      </c>
      <c r="H17" s="68" t="s">
        <v>180</v>
      </c>
      <c r="I17" s="69">
        <v>39814</v>
      </c>
      <c r="J17" s="68" t="s">
        <v>189</v>
      </c>
    </row>
    <row r="18" spans="2:10" ht="22.5" customHeight="1">
      <c r="B18" s="68" t="s">
        <v>190</v>
      </c>
      <c r="C18" s="68">
        <v>50</v>
      </c>
      <c r="D18" s="68">
        <v>50</v>
      </c>
      <c r="E18" s="68">
        <f t="shared" si="0"/>
        <v>100</v>
      </c>
      <c r="F18" s="68" t="s">
        <v>175</v>
      </c>
      <c r="G18" s="68">
        <v>2004</v>
      </c>
      <c r="H18" s="68" t="s">
        <v>180</v>
      </c>
      <c r="I18" s="69">
        <v>39448</v>
      </c>
      <c r="J18" s="68" t="s">
        <v>191</v>
      </c>
    </row>
    <row r="19" spans="2:10" ht="22.5" customHeight="1">
      <c r="B19" s="68" t="s">
        <v>192</v>
      </c>
      <c r="C19" s="68">
        <v>45</v>
      </c>
      <c r="D19" s="68">
        <v>85</v>
      </c>
      <c r="E19" s="68">
        <f t="shared" si="0"/>
        <v>130</v>
      </c>
      <c r="F19" s="68" t="s">
        <v>161</v>
      </c>
      <c r="G19" s="68">
        <v>2004</v>
      </c>
      <c r="H19" s="68" t="s">
        <v>180</v>
      </c>
      <c r="I19" s="69">
        <v>38687</v>
      </c>
      <c r="J19" s="68" t="s">
        <v>193</v>
      </c>
    </row>
    <row r="20" spans="2:10" ht="22.5" customHeight="1">
      <c r="B20" s="68" t="s">
        <v>194</v>
      </c>
      <c r="C20" s="68">
        <v>50</v>
      </c>
      <c r="D20" s="68">
        <v>65</v>
      </c>
      <c r="E20" s="68">
        <f t="shared" si="0"/>
        <v>115</v>
      </c>
      <c r="F20" s="68" t="s">
        <v>175</v>
      </c>
      <c r="G20" s="68">
        <v>2004</v>
      </c>
      <c r="H20" s="68" t="s">
        <v>180</v>
      </c>
      <c r="I20" s="69">
        <v>37622</v>
      </c>
      <c r="J20" s="68" t="s">
        <v>195</v>
      </c>
    </row>
    <row r="21" spans="2:10" ht="22.5" customHeight="1">
      <c r="B21" s="68" t="s">
        <v>196</v>
      </c>
      <c r="C21" s="68">
        <v>55</v>
      </c>
      <c r="D21" s="68">
        <v>85</v>
      </c>
      <c r="E21" s="68">
        <f t="shared" si="0"/>
        <v>140</v>
      </c>
      <c r="F21" s="68" t="s">
        <v>154</v>
      </c>
      <c r="G21" s="68">
        <v>2003</v>
      </c>
      <c r="H21" s="68" t="s">
        <v>180</v>
      </c>
      <c r="I21" s="69">
        <v>40544</v>
      </c>
      <c r="J21" s="68" t="s">
        <v>197</v>
      </c>
    </row>
    <row r="22" spans="2:10" ht="22.5" customHeight="1">
      <c r="B22" s="68" t="s">
        <v>198</v>
      </c>
      <c r="C22" s="68">
        <v>100</v>
      </c>
      <c r="D22" s="68">
        <v>90</v>
      </c>
      <c r="E22" s="68">
        <f t="shared" si="0"/>
        <v>190</v>
      </c>
      <c r="F22" s="68" t="s">
        <v>167</v>
      </c>
      <c r="G22" s="68">
        <v>2004</v>
      </c>
      <c r="H22" s="68" t="s">
        <v>199</v>
      </c>
      <c r="I22" s="69">
        <v>38687</v>
      </c>
      <c r="J22" s="68" t="s">
        <v>200</v>
      </c>
    </row>
    <row r="23" spans="2:10" ht="22.5" customHeight="1">
      <c r="B23" s="68" t="s">
        <v>201</v>
      </c>
      <c r="C23" s="68">
        <v>50</v>
      </c>
      <c r="D23" s="68">
        <v>90</v>
      </c>
      <c r="E23" s="68">
        <f t="shared" si="0"/>
        <v>140</v>
      </c>
      <c r="F23" s="68" t="s">
        <v>154</v>
      </c>
      <c r="G23" s="68">
        <v>2004</v>
      </c>
      <c r="H23" s="68" t="s">
        <v>199</v>
      </c>
      <c r="I23" s="69">
        <v>37622</v>
      </c>
      <c r="J23" s="68" t="s">
        <v>202</v>
      </c>
    </row>
    <row r="24" spans="2:10" ht="22.5" customHeight="1">
      <c r="B24" s="68" t="s">
        <v>203</v>
      </c>
      <c r="C24" s="68">
        <v>90</v>
      </c>
      <c r="D24" s="68">
        <v>95</v>
      </c>
      <c r="E24" s="68">
        <f t="shared" si="0"/>
        <v>185</v>
      </c>
      <c r="F24" s="68" t="s">
        <v>167</v>
      </c>
      <c r="G24" s="68">
        <v>2004</v>
      </c>
      <c r="H24" s="68" t="s">
        <v>199</v>
      </c>
      <c r="I24" s="69">
        <v>39965</v>
      </c>
      <c r="J24" s="68" t="s">
        <v>204</v>
      </c>
    </row>
    <row r="25" spans="2:10" ht="22.5" customHeight="1">
      <c r="B25" s="68" t="s">
        <v>205</v>
      </c>
      <c r="C25" s="68">
        <v>80</v>
      </c>
      <c r="D25" s="68">
        <v>95</v>
      </c>
      <c r="E25" s="68">
        <f t="shared" si="0"/>
        <v>175</v>
      </c>
      <c r="F25" s="68" t="s">
        <v>158</v>
      </c>
      <c r="G25" s="68">
        <v>2004</v>
      </c>
      <c r="H25" s="68" t="s">
        <v>199</v>
      </c>
      <c r="I25" s="69">
        <v>39448</v>
      </c>
      <c r="J25" s="68" t="s">
        <v>206</v>
      </c>
    </row>
    <row r="26" spans="2:10" ht="22.5" customHeight="1">
      <c r="B26" s="68" t="s">
        <v>207</v>
      </c>
      <c r="C26" s="68">
        <v>60</v>
      </c>
      <c r="D26" s="68">
        <v>65</v>
      </c>
      <c r="E26" s="68">
        <f t="shared" si="0"/>
        <v>125</v>
      </c>
      <c r="F26" s="68" t="s">
        <v>161</v>
      </c>
      <c r="G26" s="68">
        <v>2004</v>
      </c>
      <c r="H26" s="68" t="s">
        <v>199</v>
      </c>
      <c r="I26" s="69">
        <v>40695</v>
      </c>
      <c r="J26" s="68" t="s">
        <v>208</v>
      </c>
    </row>
    <row r="27" spans="2:10" ht="22.5" customHeight="1">
      <c r="B27" s="68" t="s">
        <v>209</v>
      </c>
      <c r="C27" s="68">
        <v>65</v>
      </c>
      <c r="D27" s="68">
        <v>75</v>
      </c>
      <c r="E27" s="68">
        <f t="shared" si="0"/>
        <v>140</v>
      </c>
      <c r="F27" s="68" t="s">
        <v>154</v>
      </c>
      <c r="G27" s="68">
        <v>2004</v>
      </c>
      <c r="H27" s="68" t="s">
        <v>199</v>
      </c>
      <c r="I27" s="69">
        <v>40544</v>
      </c>
      <c r="J27" s="68" t="s">
        <v>210</v>
      </c>
    </row>
    <row r="28" spans="2:10" ht="22.5" customHeight="1">
      <c r="B28" s="68" t="s">
        <v>211</v>
      </c>
      <c r="C28" s="68">
        <v>80</v>
      </c>
      <c r="D28" s="68">
        <v>70</v>
      </c>
      <c r="E28" s="68">
        <f t="shared" si="0"/>
        <v>150</v>
      </c>
      <c r="F28" s="68" t="s">
        <v>154</v>
      </c>
      <c r="G28" s="68">
        <v>2004</v>
      </c>
      <c r="H28" s="68" t="s">
        <v>199</v>
      </c>
      <c r="I28" s="69">
        <v>40330</v>
      </c>
      <c r="J28" s="68" t="s">
        <v>212</v>
      </c>
    </row>
    <row r="29" spans="2:10" ht="22.5" customHeight="1">
      <c r="B29" s="68" t="s">
        <v>213</v>
      </c>
      <c r="C29" s="68">
        <v>90</v>
      </c>
      <c r="D29" s="68">
        <v>50</v>
      </c>
      <c r="E29" s="68">
        <f t="shared" si="0"/>
        <v>140</v>
      </c>
      <c r="F29" s="68" t="s">
        <v>154</v>
      </c>
      <c r="G29" s="68">
        <v>2004</v>
      </c>
      <c r="H29" s="68" t="s">
        <v>199</v>
      </c>
      <c r="I29" s="69">
        <v>40179</v>
      </c>
      <c r="J29" s="68" t="s">
        <v>214</v>
      </c>
    </row>
    <row r="30" spans="2:10" ht="22.5" customHeight="1">
      <c r="B30" s="68" t="s">
        <v>215</v>
      </c>
      <c r="C30" s="68">
        <v>95</v>
      </c>
      <c r="D30" s="68">
        <v>55</v>
      </c>
      <c r="E30" s="68">
        <f t="shared" si="0"/>
        <v>150</v>
      </c>
      <c r="F30" s="68" t="s">
        <v>154</v>
      </c>
      <c r="G30" s="68">
        <v>2004</v>
      </c>
      <c r="H30" s="68" t="s">
        <v>199</v>
      </c>
      <c r="I30" s="69">
        <v>39600</v>
      </c>
      <c r="J30" s="68" t="s">
        <v>216</v>
      </c>
    </row>
    <row r="31" spans="2:10" ht="22.5" customHeight="1">
      <c r="B31" s="68" t="s">
        <v>217</v>
      </c>
      <c r="C31" s="68">
        <v>80</v>
      </c>
      <c r="D31" s="68">
        <v>90</v>
      </c>
      <c r="E31" s="68">
        <f t="shared" si="0"/>
        <v>170</v>
      </c>
      <c r="F31" s="68" t="s">
        <v>158</v>
      </c>
      <c r="G31" s="68">
        <v>2004</v>
      </c>
      <c r="H31" s="68" t="s">
        <v>218</v>
      </c>
      <c r="I31" s="69">
        <v>37987</v>
      </c>
      <c r="J31" s="68" t="s">
        <v>219</v>
      </c>
    </row>
    <row r="32" spans="2:10" ht="22.5" customHeight="1">
      <c r="B32" s="68" t="s">
        <v>220</v>
      </c>
      <c r="C32" s="68">
        <v>75</v>
      </c>
      <c r="D32" s="68">
        <v>90</v>
      </c>
      <c r="E32" s="68">
        <f t="shared" si="0"/>
        <v>165</v>
      </c>
      <c r="F32" s="68" t="s">
        <v>158</v>
      </c>
      <c r="G32" s="68">
        <v>2004</v>
      </c>
      <c r="H32" s="68" t="s">
        <v>218</v>
      </c>
      <c r="I32" s="69">
        <v>36526</v>
      </c>
      <c r="J32" s="68" t="s">
        <v>221</v>
      </c>
    </row>
    <row r="33" spans="2:10" ht="22.5" customHeight="1">
      <c r="B33" s="68" t="s">
        <v>222</v>
      </c>
      <c r="C33" s="68">
        <v>80</v>
      </c>
      <c r="D33" s="68">
        <v>65</v>
      </c>
      <c r="E33" s="68">
        <f t="shared" si="0"/>
        <v>145</v>
      </c>
      <c r="F33" s="68" t="s">
        <v>154</v>
      </c>
      <c r="G33" s="68">
        <v>2004</v>
      </c>
      <c r="H33" s="68" t="s">
        <v>218</v>
      </c>
      <c r="I33" s="69">
        <v>39448</v>
      </c>
      <c r="J33" s="68" t="s">
        <v>223</v>
      </c>
    </row>
    <row r="34" spans="2:10" ht="22.5" customHeight="1">
      <c r="B34" s="68" t="s">
        <v>224</v>
      </c>
      <c r="C34" s="68">
        <v>70</v>
      </c>
      <c r="D34" s="68">
        <v>90</v>
      </c>
      <c r="E34" s="68">
        <f t="shared" si="0"/>
        <v>160</v>
      </c>
      <c r="F34" s="68" t="s">
        <v>158</v>
      </c>
      <c r="G34" s="68">
        <v>2004</v>
      </c>
      <c r="H34" s="68" t="s">
        <v>218</v>
      </c>
      <c r="I34" s="69">
        <v>39814</v>
      </c>
      <c r="J34" s="68" t="s">
        <v>225</v>
      </c>
    </row>
    <row r="35" spans="2:10" ht="22.5" customHeight="1">
      <c r="B35" s="68" t="s">
        <v>226</v>
      </c>
      <c r="C35" s="68">
        <v>80</v>
      </c>
      <c r="D35" s="68">
        <v>40</v>
      </c>
      <c r="E35" s="68">
        <f t="shared" ref="E35:E60" si="1">C35+D35</f>
        <v>120</v>
      </c>
      <c r="F35" s="68" t="s">
        <v>161</v>
      </c>
      <c r="G35" s="68">
        <v>2003</v>
      </c>
      <c r="H35" s="68" t="s">
        <v>218</v>
      </c>
      <c r="I35" s="69">
        <v>40878</v>
      </c>
      <c r="J35" s="68" t="s">
        <v>227</v>
      </c>
    </row>
    <row r="36" spans="2:10" ht="22.5" customHeight="1">
      <c r="B36" s="68" t="s">
        <v>228</v>
      </c>
      <c r="C36" s="68">
        <v>65</v>
      </c>
      <c r="D36" s="68">
        <v>90</v>
      </c>
      <c r="E36" s="68">
        <f t="shared" si="1"/>
        <v>155</v>
      </c>
      <c r="F36" s="68" t="s">
        <v>154</v>
      </c>
      <c r="G36" s="68">
        <v>2004</v>
      </c>
      <c r="H36" s="68" t="s">
        <v>218</v>
      </c>
      <c r="I36" s="69">
        <v>36526</v>
      </c>
      <c r="J36" s="68" t="s">
        <v>229</v>
      </c>
    </row>
    <row r="37" spans="2:10" ht="22.5" customHeight="1">
      <c r="B37" s="68" t="s">
        <v>230</v>
      </c>
      <c r="C37" s="68">
        <v>60</v>
      </c>
      <c r="D37" s="68">
        <v>95</v>
      </c>
      <c r="E37" s="68">
        <f t="shared" si="1"/>
        <v>155</v>
      </c>
      <c r="F37" s="68" t="s">
        <v>154</v>
      </c>
      <c r="G37" s="68">
        <v>2004</v>
      </c>
      <c r="H37" s="68" t="s">
        <v>218</v>
      </c>
      <c r="I37" s="69">
        <v>3</v>
      </c>
      <c r="J37" s="68" t="s">
        <v>231</v>
      </c>
    </row>
    <row r="38" spans="2:10" ht="22.5" customHeight="1">
      <c r="B38" s="68" t="s">
        <v>232</v>
      </c>
      <c r="C38" s="68">
        <v>90</v>
      </c>
      <c r="D38" s="68">
        <v>80</v>
      </c>
      <c r="E38" s="68">
        <f t="shared" si="1"/>
        <v>170</v>
      </c>
      <c r="F38" s="68" t="s">
        <v>158</v>
      </c>
      <c r="G38" s="68">
        <v>2004</v>
      </c>
      <c r="H38" s="68" t="s">
        <v>218</v>
      </c>
      <c r="I38" s="69">
        <v>39448</v>
      </c>
      <c r="J38" s="68" t="s">
        <v>233</v>
      </c>
    </row>
    <row r="39" spans="2:10" ht="22.5" customHeight="1">
      <c r="B39" s="68" t="s">
        <v>234</v>
      </c>
      <c r="C39" s="68">
        <v>90</v>
      </c>
      <c r="D39" s="68">
        <v>50</v>
      </c>
      <c r="E39" s="68">
        <f t="shared" si="1"/>
        <v>140</v>
      </c>
      <c r="F39" s="68" t="s">
        <v>154</v>
      </c>
      <c r="G39" s="68">
        <v>2004</v>
      </c>
      <c r="H39" s="68" t="s">
        <v>218</v>
      </c>
      <c r="I39" s="69">
        <v>36161</v>
      </c>
      <c r="J39" s="68" t="s">
        <v>235</v>
      </c>
    </row>
    <row r="40" spans="2:10" ht="22.5" customHeight="1">
      <c r="B40" s="68" t="s">
        <v>236</v>
      </c>
      <c r="C40" s="68">
        <v>95</v>
      </c>
      <c r="D40" s="68">
        <v>60</v>
      </c>
      <c r="E40" s="68">
        <f t="shared" si="1"/>
        <v>155</v>
      </c>
      <c r="F40" s="68" t="s">
        <v>154</v>
      </c>
      <c r="G40" s="68">
        <v>2004</v>
      </c>
      <c r="H40" s="68" t="s">
        <v>218</v>
      </c>
      <c r="I40" s="69">
        <v>39083</v>
      </c>
      <c r="J40" s="68" t="s">
        <v>237</v>
      </c>
    </row>
    <row r="41" spans="2:10" ht="22.5" customHeight="1">
      <c r="B41" s="68" t="s">
        <v>238</v>
      </c>
      <c r="C41" s="68">
        <v>90</v>
      </c>
      <c r="D41" s="68">
        <v>75</v>
      </c>
      <c r="E41" s="68">
        <f t="shared" si="1"/>
        <v>165</v>
      </c>
      <c r="F41" s="68" t="s">
        <v>158</v>
      </c>
      <c r="G41" s="68">
        <v>2004</v>
      </c>
      <c r="H41" s="68" t="s">
        <v>218</v>
      </c>
      <c r="I41" s="69">
        <v>39448</v>
      </c>
      <c r="J41" s="68" t="s">
        <v>239</v>
      </c>
    </row>
    <row r="42" spans="2:10" ht="22.5" customHeight="1">
      <c r="B42" s="68" t="s">
        <v>240</v>
      </c>
      <c r="C42" s="68">
        <v>95</v>
      </c>
      <c r="D42" s="68">
        <v>75</v>
      </c>
      <c r="E42" s="68">
        <f t="shared" si="1"/>
        <v>170</v>
      </c>
      <c r="F42" s="68" t="s">
        <v>158</v>
      </c>
      <c r="G42" s="68">
        <v>2004</v>
      </c>
      <c r="H42" s="68" t="s">
        <v>218</v>
      </c>
      <c r="I42" s="69">
        <v>38322</v>
      </c>
      <c r="J42" s="68" t="s">
        <v>241</v>
      </c>
    </row>
    <row r="43" spans="2:10" ht="22.5" customHeight="1">
      <c r="B43" s="68" t="s">
        <v>242</v>
      </c>
      <c r="C43" s="68">
        <v>100</v>
      </c>
      <c r="D43" s="68">
        <v>80</v>
      </c>
      <c r="E43" s="68">
        <f t="shared" si="1"/>
        <v>180</v>
      </c>
      <c r="F43" s="68" t="s">
        <v>167</v>
      </c>
      <c r="G43" s="68">
        <v>2004</v>
      </c>
      <c r="H43" s="68" t="s">
        <v>218</v>
      </c>
      <c r="I43" s="69">
        <v>39814</v>
      </c>
      <c r="J43" s="68" t="s">
        <v>243</v>
      </c>
    </row>
    <row r="44" spans="2:10" ht="22.5" customHeight="1">
      <c r="B44" s="68" t="s">
        <v>244</v>
      </c>
      <c r="C44" s="68">
        <v>80</v>
      </c>
      <c r="D44" s="68">
        <v>70</v>
      </c>
      <c r="E44" s="68">
        <f t="shared" si="1"/>
        <v>150</v>
      </c>
      <c r="F44" s="68" t="s">
        <v>154</v>
      </c>
      <c r="G44" s="68">
        <v>2004</v>
      </c>
      <c r="H44" s="68" t="s">
        <v>218</v>
      </c>
      <c r="I44" s="69">
        <v>40148</v>
      </c>
      <c r="J44" s="68" t="s">
        <v>245</v>
      </c>
    </row>
    <row r="45" spans="2:10" ht="22.5" customHeight="1">
      <c r="B45" s="68" t="s">
        <v>246</v>
      </c>
      <c r="C45" s="68">
        <v>60</v>
      </c>
      <c r="D45" s="68">
        <v>80</v>
      </c>
      <c r="E45" s="68">
        <f t="shared" si="1"/>
        <v>140</v>
      </c>
      <c r="F45" s="68" t="s">
        <v>154</v>
      </c>
      <c r="G45" s="68">
        <v>2004</v>
      </c>
      <c r="H45" s="68" t="s">
        <v>218</v>
      </c>
      <c r="I45" s="69">
        <v>39814</v>
      </c>
      <c r="J45" s="68" t="s">
        <v>247</v>
      </c>
    </row>
    <row r="46" spans="2:10" ht="22.5" customHeight="1">
      <c r="B46" s="68" t="s">
        <v>248</v>
      </c>
      <c r="C46" s="68">
        <v>70</v>
      </c>
      <c r="D46" s="68">
        <v>70</v>
      </c>
      <c r="E46" s="68">
        <f t="shared" si="1"/>
        <v>140</v>
      </c>
      <c r="F46" s="68" t="s">
        <v>154</v>
      </c>
      <c r="G46" s="68">
        <v>2003</v>
      </c>
      <c r="H46" s="68" t="s">
        <v>218</v>
      </c>
      <c r="I46" s="69">
        <v>40544</v>
      </c>
      <c r="J46" s="68" t="s">
        <v>249</v>
      </c>
    </row>
    <row r="47" spans="2:10" ht="22.5" customHeight="1">
      <c r="B47" s="68" t="s">
        <v>250</v>
      </c>
      <c r="C47" s="68">
        <v>75</v>
      </c>
      <c r="D47" s="68">
        <v>85</v>
      </c>
      <c r="E47" s="68">
        <f t="shared" si="1"/>
        <v>160</v>
      </c>
      <c r="F47" s="68" t="s">
        <v>158</v>
      </c>
      <c r="G47" s="68">
        <v>2004</v>
      </c>
      <c r="H47" s="68" t="s">
        <v>218</v>
      </c>
      <c r="I47" s="69">
        <v>40544</v>
      </c>
      <c r="J47" s="68" t="s">
        <v>251</v>
      </c>
    </row>
    <row r="48" spans="2:10" ht="22.5" customHeight="1">
      <c r="B48" s="68" t="s">
        <v>252</v>
      </c>
      <c r="C48" s="68">
        <v>85</v>
      </c>
      <c r="D48" s="68">
        <v>95</v>
      </c>
      <c r="E48" s="68">
        <f t="shared" si="1"/>
        <v>180</v>
      </c>
      <c r="F48" s="68" t="s">
        <v>167</v>
      </c>
      <c r="G48" s="68">
        <v>2004</v>
      </c>
      <c r="H48" s="68" t="s">
        <v>218</v>
      </c>
      <c r="I48" s="69">
        <v>40179</v>
      </c>
      <c r="J48" s="68" t="s">
        <v>253</v>
      </c>
    </row>
    <row r="49" spans="2:10" ht="22.5" customHeight="1">
      <c r="B49" s="68" t="s">
        <v>254</v>
      </c>
      <c r="C49" s="68">
        <v>95</v>
      </c>
      <c r="D49" s="68">
        <v>60</v>
      </c>
      <c r="E49" s="68">
        <f t="shared" si="1"/>
        <v>155</v>
      </c>
      <c r="F49" s="68" t="s">
        <v>154</v>
      </c>
      <c r="G49" s="68">
        <v>2004</v>
      </c>
      <c r="H49" s="68" t="s">
        <v>218</v>
      </c>
      <c r="I49" s="69">
        <v>40330</v>
      </c>
      <c r="J49" s="68" t="s">
        <v>255</v>
      </c>
    </row>
    <row r="50" spans="2:10" ht="22.5" customHeight="1">
      <c r="B50" s="68" t="s">
        <v>256</v>
      </c>
      <c r="C50" s="68">
        <v>85</v>
      </c>
      <c r="D50" s="68">
        <v>80</v>
      </c>
      <c r="E50" s="68">
        <f t="shared" si="1"/>
        <v>165</v>
      </c>
      <c r="F50" s="68" t="s">
        <v>158</v>
      </c>
      <c r="G50" s="68">
        <v>2004</v>
      </c>
      <c r="H50" s="68" t="s">
        <v>257</v>
      </c>
      <c r="I50" s="69">
        <v>39814</v>
      </c>
      <c r="J50" s="68" t="s">
        <v>258</v>
      </c>
    </row>
    <row r="51" spans="2:10" ht="22.5" customHeight="1">
      <c r="B51" s="68" t="s">
        <v>259</v>
      </c>
      <c r="C51" s="68">
        <v>70</v>
      </c>
      <c r="D51" s="68">
        <v>60</v>
      </c>
      <c r="E51" s="68">
        <f t="shared" si="1"/>
        <v>130</v>
      </c>
      <c r="F51" s="68" t="s">
        <v>161</v>
      </c>
      <c r="G51" s="68">
        <v>2004</v>
      </c>
      <c r="H51" s="68" t="s">
        <v>257</v>
      </c>
      <c r="I51" s="69">
        <v>39814</v>
      </c>
      <c r="J51" s="68" t="s">
        <v>260</v>
      </c>
    </row>
    <row r="52" spans="2:10" ht="22.5" customHeight="1">
      <c r="B52" s="68" t="s">
        <v>261</v>
      </c>
      <c r="C52" s="68">
        <v>60</v>
      </c>
      <c r="D52" s="68">
        <v>55</v>
      </c>
      <c r="E52" s="68">
        <f t="shared" si="1"/>
        <v>115</v>
      </c>
      <c r="F52" s="68" t="s">
        <v>175</v>
      </c>
      <c r="G52" s="68">
        <v>2004</v>
      </c>
      <c r="H52" s="68" t="s">
        <v>257</v>
      </c>
      <c r="I52" s="69">
        <v>39783</v>
      </c>
      <c r="J52" s="68" t="s">
        <v>262</v>
      </c>
    </row>
    <row r="53" spans="2:10" ht="22.5" customHeight="1">
      <c r="B53" s="68" t="s">
        <v>263</v>
      </c>
      <c r="C53" s="68">
        <v>65</v>
      </c>
      <c r="D53" s="68">
        <v>60</v>
      </c>
      <c r="E53" s="68">
        <f t="shared" si="1"/>
        <v>125</v>
      </c>
      <c r="F53" s="68" t="s">
        <v>161</v>
      </c>
      <c r="G53" s="68">
        <v>2004</v>
      </c>
      <c r="H53" s="68" t="s">
        <v>257</v>
      </c>
      <c r="I53" s="69">
        <v>40513</v>
      </c>
      <c r="J53" s="68" t="s">
        <v>264</v>
      </c>
    </row>
    <row r="54" spans="2:10" ht="22.5" customHeight="1">
      <c r="B54" s="68" t="s">
        <v>265</v>
      </c>
      <c r="C54" s="68">
        <v>95</v>
      </c>
      <c r="D54" s="68">
        <v>70</v>
      </c>
      <c r="E54" s="68">
        <f t="shared" si="1"/>
        <v>165</v>
      </c>
      <c r="F54" s="68" t="s">
        <v>158</v>
      </c>
      <c r="G54" s="68">
        <v>2004</v>
      </c>
      <c r="H54" s="68" t="s">
        <v>257</v>
      </c>
      <c r="I54" s="69">
        <v>39083</v>
      </c>
      <c r="J54" s="68" t="s">
        <v>266</v>
      </c>
    </row>
    <row r="55" spans="2:10" ht="22.5" customHeight="1">
      <c r="B55" s="68" t="s">
        <v>267</v>
      </c>
      <c r="C55" s="68">
        <v>70</v>
      </c>
      <c r="D55" s="68">
        <v>80</v>
      </c>
      <c r="E55" s="68">
        <f t="shared" si="1"/>
        <v>150</v>
      </c>
      <c r="F55" s="68" t="s">
        <v>154</v>
      </c>
      <c r="G55" s="68">
        <v>2004</v>
      </c>
      <c r="H55" s="68" t="s">
        <v>257</v>
      </c>
      <c r="I55" s="69">
        <v>39234</v>
      </c>
      <c r="J55" s="68" t="s">
        <v>268</v>
      </c>
    </row>
    <row r="56" spans="2:10" ht="22.5" customHeight="1">
      <c r="B56" s="68" t="s">
        <v>269</v>
      </c>
      <c r="C56" s="68">
        <v>100</v>
      </c>
      <c r="D56" s="68">
        <v>95</v>
      </c>
      <c r="E56" s="68">
        <f t="shared" si="1"/>
        <v>195</v>
      </c>
      <c r="F56" s="68" t="s">
        <v>167</v>
      </c>
      <c r="G56" s="68">
        <v>2004</v>
      </c>
      <c r="H56" s="68" t="s">
        <v>257</v>
      </c>
      <c r="I56" s="69">
        <v>37773</v>
      </c>
      <c r="J56" s="68" t="s">
        <v>270</v>
      </c>
    </row>
    <row r="57" spans="2:10" ht="22.5" customHeight="1">
      <c r="B57" s="68" t="s">
        <v>271</v>
      </c>
      <c r="C57" s="68">
        <v>50</v>
      </c>
      <c r="D57" s="68">
        <v>80</v>
      </c>
      <c r="E57" s="68">
        <f t="shared" si="1"/>
        <v>130</v>
      </c>
      <c r="F57" s="68" t="s">
        <v>161</v>
      </c>
      <c r="G57" s="68">
        <v>2004</v>
      </c>
      <c r="H57" s="68" t="s">
        <v>257</v>
      </c>
      <c r="I57" s="69">
        <v>37773</v>
      </c>
      <c r="J57" s="68" t="s">
        <v>272</v>
      </c>
    </row>
    <row r="58" spans="2:10" ht="22.5" customHeight="1">
      <c r="B58" s="68" t="s">
        <v>273</v>
      </c>
      <c r="C58" s="68">
        <v>60</v>
      </c>
      <c r="D58" s="68">
        <v>90</v>
      </c>
      <c r="E58" s="68">
        <f t="shared" si="1"/>
        <v>150</v>
      </c>
      <c r="F58" s="68" t="s">
        <v>154</v>
      </c>
      <c r="G58" s="68">
        <v>2004</v>
      </c>
      <c r="H58" s="68" t="s">
        <v>155</v>
      </c>
      <c r="I58" s="69">
        <v>40179</v>
      </c>
      <c r="J58" s="68" t="s">
        <v>274</v>
      </c>
    </row>
    <row r="59" spans="2:10" ht="22.5" customHeight="1">
      <c r="B59" s="68" t="s">
        <v>275</v>
      </c>
      <c r="C59" s="68">
        <v>85</v>
      </c>
      <c r="D59" s="68">
        <v>70</v>
      </c>
      <c r="E59" s="68">
        <f t="shared" si="1"/>
        <v>155</v>
      </c>
      <c r="F59" s="68" t="s">
        <v>154</v>
      </c>
      <c r="G59" s="68">
        <v>2004</v>
      </c>
      <c r="H59" s="68" t="s">
        <v>155</v>
      </c>
      <c r="I59" s="69">
        <v>40179</v>
      </c>
      <c r="J59" s="68" t="s">
        <v>276</v>
      </c>
    </row>
    <row r="60" spans="2:10" ht="22.5" customHeight="1">
      <c r="B60" s="68" t="s">
        <v>277</v>
      </c>
      <c r="C60" s="68">
        <v>70</v>
      </c>
      <c r="D60" s="68">
        <v>80</v>
      </c>
      <c r="E60" s="68">
        <f t="shared" si="1"/>
        <v>150</v>
      </c>
      <c r="F60" s="68" t="s">
        <v>154</v>
      </c>
      <c r="G60" s="68">
        <v>2004</v>
      </c>
      <c r="H60" s="68" t="s">
        <v>155</v>
      </c>
      <c r="I60" s="69">
        <v>40179</v>
      </c>
      <c r="J60" s="68" t="s">
        <v>278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pageOrder="overThenDown" orientation="portrait" blackAndWhite="1" draft="1" errors="blank" r:id="rId1"/>
  <headerFooter>
    <oddFooter>&amp;C&amp;P쪽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R54"/>
  <sheetViews>
    <sheetView workbookViewId="0">
      <selection activeCell="F30" sqref="F30"/>
    </sheetView>
  </sheetViews>
  <sheetFormatPr defaultRowHeight="16.5"/>
  <cols>
    <col min="1" max="1" width="4" style="4" customWidth="1"/>
    <col min="2" max="2" width="9.125" style="4" customWidth="1"/>
    <col min="3" max="3" width="12.375" style="9" customWidth="1"/>
    <col min="4" max="4" width="9" style="10" customWidth="1"/>
    <col min="5" max="5" width="13.5" style="3" customWidth="1"/>
    <col min="6" max="6" width="14.625" style="3" bestFit="1" customWidth="1"/>
    <col min="7" max="7" width="13" style="3" customWidth="1"/>
    <col min="8" max="8" width="13.25" style="4" customWidth="1"/>
    <col min="9" max="9" width="9.375" style="3" customWidth="1"/>
    <col min="10" max="10" width="20" style="4" bestFit="1" customWidth="1"/>
    <col min="11" max="11" width="12.5" style="4" customWidth="1"/>
    <col min="12" max="12" width="31.75" style="4" bestFit="1" customWidth="1"/>
    <col min="13" max="13" width="10.875" style="4" customWidth="1"/>
    <col min="14" max="14" width="13.5" style="4" bestFit="1" customWidth="1"/>
    <col min="15" max="15" width="14.75" style="4" bestFit="1" customWidth="1"/>
    <col min="16" max="16" width="13.5" style="4" bestFit="1" customWidth="1"/>
    <col min="17" max="16384" width="9" style="4"/>
  </cols>
  <sheetData>
    <row r="1" spans="2:18">
      <c r="B1" s="3" t="s">
        <v>29</v>
      </c>
      <c r="C1" s="23"/>
      <c r="D1" s="23"/>
      <c r="E1" s="23"/>
      <c r="F1" s="23"/>
      <c r="G1" s="24"/>
      <c r="H1" s="23"/>
      <c r="I1" s="24"/>
      <c r="J1" s="23"/>
      <c r="K1" s="23"/>
      <c r="L1" s="2"/>
    </row>
    <row r="2" spans="2:18">
      <c r="B2" s="12" t="s">
        <v>30</v>
      </c>
      <c r="C2" s="12" t="s">
        <v>80</v>
      </c>
      <c r="D2" s="12" t="s">
        <v>31</v>
      </c>
      <c r="E2" s="25" t="s">
        <v>32</v>
      </c>
      <c r="F2" s="12" t="s">
        <v>0</v>
      </c>
      <c r="G2" s="26" t="s">
        <v>33</v>
      </c>
      <c r="H2" s="25" t="s">
        <v>35</v>
      </c>
      <c r="I2" s="34" t="s">
        <v>34</v>
      </c>
      <c r="J2" s="13" t="s">
        <v>81</v>
      </c>
      <c r="R2" s="46" t="s">
        <v>82</v>
      </c>
    </row>
    <row r="3" spans="2:18">
      <c r="B3" s="27" t="s">
        <v>39</v>
      </c>
      <c r="C3" s="43">
        <v>42948</v>
      </c>
      <c r="D3" s="27">
        <v>1</v>
      </c>
      <c r="E3" s="28">
        <v>3</v>
      </c>
      <c r="F3" s="27" t="s">
        <v>37</v>
      </c>
      <c r="G3" s="29">
        <v>357000</v>
      </c>
      <c r="H3" s="19">
        <v>12</v>
      </c>
      <c r="I3" s="30">
        <f>G3*(1-CHOOSE(D3,0%,5%,10%,20%))-(1-IF(E3&gt;=3,80%,70%))</f>
        <v>356999.8</v>
      </c>
      <c r="J3" s="44" t="str">
        <f>fn할인구분(C3,F3)</f>
        <v/>
      </c>
      <c r="R3" s="4">
        <f>IF(D3=1,0%,IF(D3=2,5%,IF(D3=3,10%,20%)))</f>
        <v>0</v>
      </c>
    </row>
    <row r="4" spans="2:18">
      <c r="B4" s="27" t="s">
        <v>39</v>
      </c>
      <c r="C4" s="43">
        <v>42964</v>
      </c>
      <c r="D4" s="27">
        <v>2</v>
      </c>
      <c r="E4" s="28">
        <v>3</v>
      </c>
      <c r="F4" s="27" t="s">
        <v>38</v>
      </c>
      <c r="G4" s="29">
        <v>357000</v>
      </c>
      <c r="H4" s="19">
        <v>23</v>
      </c>
      <c r="I4" s="30">
        <f t="shared" ref="I4:I29" si="0">G4*(1-CHOOSE(D4,0%,5%,10%,20%))-(1-IF(E4&gt;=3,80%,70%))</f>
        <v>339149.8</v>
      </c>
      <c r="J4" s="44" t="str">
        <f t="shared" ref="J4:J29" si="1">fn할인구분(C4,F4)</f>
        <v/>
      </c>
      <c r="R4" s="4">
        <f t="shared" ref="R4:R15" si="2">IF(D4=1,0%,IF(D4=2,5%,IF(D4=3,10%,20%)))</f>
        <v>0.05</v>
      </c>
    </row>
    <row r="5" spans="2:18">
      <c r="B5" s="27" t="s">
        <v>39</v>
      </c>
      <c r="C5" s="43">
        <v>42959</v>
      </c>
      <c r="D5" s="27">
        <v>2</v>
      </c>
      <c r="E5" s="28">
        <v>2</v>
      </c>
      <c r="F5" s="27" t="s">
        <v>40</v>
      </c>
      <c r="G5" s="29">
        <v>357000</v>
      </c>
      <c r="H5" s="19">
        <v>45</v>
      </c>
      <c r="I5" s="30">
        <f t="shared" si="0"/>
        <v>339149.7</v>
      </c>
      <c r="J5" s="44" t="str">
        <f t="shared" si="1"/>
        <v/>
      </c>
      <c r="L5" s="4" t="s">
        <v>79</v>
      </c>
      <c r="R5" s="4">
        <f t="shared" si="2"/>
        <v>0.05</v>
      </c>
    </row>
    <row r="6" spans="2:18">
      <c r="B6" s="27" t="s">
        <v>39</v>
      </c>
      <c r="C6" s="43">
        <v>42965</v>
      </c>
      <c r="D6" s="27">
        <v>1</v>
      </c>
      <c r="E6" s="28">
        <v>5</v>
      </c>
      <c r="F6" s="27" t="s">
        <v>41</v>
      </c>
      <c r="G6" s="29">
        <v>375000</v>
      </c>
      <c r="H6" s="19">
        <v>34</v>
      </c>
      <c r="I6" s="30">
        <f t="shared" si="0"/>
        <v>374999.8</v>
      </c>
      <c r="J6" s="44" t="str">
        <f t="shared" si="1"/>
        <v/>
      </c>
      <c r="L6" s="12" t="s">
        <v>78</v>
      </c>
      <c r="M6" s="13" t="s">
        <v>75</v>
      </c>
      <c r="N6" s="13" t="s">
        <v>76</v>
      </c>
      <c r="O6" s="13" t="s">
        <v>77</v>
      </c>
      <c r="R6" s="4">
        <f t="shared" si="2"/>
        <v>0</v>
      </c>
    </row>
    <row r="7" spans="2:18">
      <c r="B7" s="27" t="s">
        <v>39</v>
      </c>
      <c r="C7" s="43">
        <v>42966</v>
      </c>
      <c r="D7" s="27">
        <v>1</v>
      </c>
      <c r="E7" s="28">
        <v>4</v>
      </c>
      <c r="F7" s="27" t="s">
        <v>42</v>
      </c>
      <c r="G7" s="29">
        <v>357000</v>
      </c>
      <c r="H7" s="19">
        <v>32</v>
      </c>
      <c r="I7" s="30">
        <f t="shared" si="0"/>
        <v>356999.8</v>
      </c>
      <c r="J7" s="44" t="str">
        <f t="shared" si="1"/>
        <v/>
      </c>
      <c r="L7" s="12">
        <v>1</v>
      </c>
      <c r="M7" s="12">
        <f t="array" ref="M7">LARGE(IF($B$3:$B$29=M$6, $H$3:$H$29),$L7)</f>
        <v>45</v>
      </c>
      <c r="N7" s="12">
        <f t="array" ref="N7">LARGE(IF($B$3:$B$29=N$6, $H$3:$H$29),$L7)</f>
        <v>93</v>
      </c>
      <c r="O7" s="12">
        <f t="array" ref="O7">LARGE(IF($B$3:$B$29=O$6, $H$3:$H$29),$L7)</f>
        <v>80</v>
      </c>
      <c r="R7" s="4">
        <f t="shared" si="2"/>
        <v>0</v>
      </c>
    </row>
    <row r="8" spans="2:18">
      <c r="B8" s="27" t="s">
        <v>39</v>
      </c>
      <c r="C8" s="43">
        <v>42967</v>
      </c>
      <c r="D8" s="27">
        <v>2</v>
      </c>
      <c r="E8" s="28">
        <v>4</v>
      </c>
      <c r="F8" s="27" t="s">
        <v>43</v>
      </c>
      <c r="G8" s="29">
        <v>357000</v>
      </c>
      <c r="H8" s="19">
        <v>44</v>
      </c>
      <c r="I8" s="30">
        <f t="shared" si="0"/>
        <v>339149.8</v>
      </c>
      <c r="J8" s="44" t="str">
        <f t="shared" si="1"/>
        <v>김주광님은 할인대상</v>
      </c>
      <c r="L8" s="12">
        <v>2</v>
      </c>
      <c r="M8" s="12">
        <f t="array" ref="M8">LARGE(IF($B$3:$B$29=M$6, $H$3:$H$29),$L8)</f>
        <v>44</v>
      </c>
      <c r="N8" s="12">
        <f t="array" ref="N8">LARGE(IF($B$3:$B$29=N$6, $H$3:$H$29),$L8)</f>
        <v>72</v>
      </c>
      <c r="O8" s="12">
        <f t="array" ref="O8">LARGE(IF($B$3:$B$29=O$6, $H$3:$H$29),$L8)</f>
        <v>78</v>
      </c>
      <c r="R8" s="4">
        <f t="shared" si="2"/>
        <v>0.05</v>
      </c>
    </row>
    <row r="9" spans="2:18">
      <c r="B9" s="27" t="s">
        <v>39</v>
      </c>
      <c r="C9" s="43">
        <v>42968</v>
      </c>
      <c r="D9" s="27">
        <v>3</v>
      </c>
      <c r="E9" s="28">
        <v>3</v>
      </c>
      <c r="F9" s="27" t="s">
        <v>44</v>
      </c>
      <c r="G9" s="29">
        <v>357000</v>
      </c>
      <c r="H9" s="19">
        <v>37</v>
      </c>
      <c r="I9" s="30">
        <f t="shared" si="0"/>
        <v>321299.8</v>
      </c>
      <c r="J9" s="44" t="str">
        <f t="shared" si="1"/>
        <v>김모근님은 할인대상</v>
      </c>
      <c r="L9" s="12">
        <v>3</v>
      </c>
      <c r="M9" s="12">
        <f t="array" ref="M9">LARGE(IF($B$3:$B$29=M$6, $H$3:$H$29),$L9)</f>
        <v>37</v>
      </c>
      <c r="N9" s="12">
        <f t="array" ref="N9">LARGE(IF($B$3:$B$29=N$6, $H$3:$H$29),$L9)</f>
        <v>71</v>
      </c>
      <c r="O9" s="12">
        <f t="array" ref="O9">LARGE(IF($B$3:$B$29=O$6, $H$3:$H$29),$L9)</f>
        <v>71</v>
      </c>
      <c r="R9" s="4">
        <f t="shared" si="2"/>
        <v>0.1</v>
      </c>
    </row>
    <row r="10" spans="2:18">
      <c r="B10" s="27" t="s">
        <v>39</v>
      </c>
      <c r="C10" s="43">
        <v>42969</v>
      </c>
      <c r="D10" s="27">
        <v>2</v>
      </c>
      <c r="E10" s="28">
        <v>2</v>
      </c>
      <c r="F10" s="27" t="s">
        <v>45</v>
      </c>
      <c r="G10" s="29">
        <v>357000</v>
      </c>
      <c r="H10" s="19">
        <v>28</v>
      </c>
      <c r="I10" s="30">
        <f t="shared" si="0"/>
        <v>339149.7</v>
      </c>
      <c r="J10" s="44" t="str">
        <f t="shared" si="1"/>
        <v>김범기님은 할인대상</v>
      </c>
      <c r="R10" s="4">
        <f t="shared" si="2"/>
        <v>0.05</v>
      </c>
    </row>
    <row r="11" spans="2:18">
      <c r="B11" s="27" t="s">
        <v>49</v>
      </c>
      <c r="C11" s="43">
        <v>42951</v>
      </c>
      <c r="D11" s="27">
        <v>1</v>
      </c>
      <c r="E11" s="28">
        <v>2</v>
      </c>
      <c r="F11" s="27" t="s">
        <v>46</v>
      </c>
      <c r="G11" s="29">
        <v>357000</v>
      </c>
      <c r="H11" s="19">
        <v>12</v>
      </c>
      <c r="I11" s="30">
        <f t="shared" si="0"/>
        <v>356999.7</v>
      </c>
      <c r="J11" s="44" t="str">
        <f t="shared" si="1"/>
        <v/>
      </c>
      <c r="L11" s="46" t="s">
        <v>89</v>
      </c>
      <c r="R11" s="4">
        <f t="shared" si="2"/>
        <v>0</v>
      </c>
    </row>
    <row r="12" spans="2:18">
      <c r="B12" s="27" t="s">
        <v>49</v>
      </c>
      <c r="C12" s="43">
        <v>42952</v>
      </c>
      <c r="D12" s="27">
        <v>1</v>
      </c>
      <c r="E12" s="28">
        <v>4</v>
      </c>
      <c r="F12" s="27" t="s">
        <v>47</v>
      </c>
      <c r="G12" s="29">
        <v>357000</v>
      </c>
      <c r="H12" s="19">
        <v>5</v>
      </c>
      <c r="I12" s="30">
        <f t="shared" si="0"/>
        <v>356999.8</v>
      </c>
      <c r="J12" s="44" t="str">
        <f t="shared" si="1"/>
        <v/>
      </c>
      <c r="M12" s="4">
        <f t="array" ref="M12">SMALL(IF($B$3:$B$29=M$6, $H$3:$H$29),$L7)</f>
        <v>12</v>
      </c>
      <c r="N12" s="4">
        <f t="array" ref="N12">SMALL(IF($B$3:$B$29=N$6, $H$3:$H$29),$L7)</f>
        <v>5</v>
      </c>
      <c r="O12" s="4">
        <f t="array" ref="O12">SMALL(IF($B$3:$B$29=O$6, $H$3:$H$29),$L7)</f>
        <v>6</v>
      </c>
      <c r="R12" s="4">
        <f t="shared" si="2"/>
        <v>0</v>
      </c>
    </row>
    <row r="13" spans="2:18">
      <c r="B13" s="27" t="s">
        <v>49</v>
      </c>
      <c r="C13" s="43">
        <v>42953</v>
      </c>
      <c r="D13" s="27">
        <v>1</v>
      </c>
      <c r="E13" s="28">
        <v>3</v>
      </c>
      <c r="F13" s="27" t="s">
        <v>48</v>
      </c>
      <c r="G13" s="29">
        <v>357000</v>
      </c>
      <c r="H13" s="19">
        <v>59</v>
      </c>
      <c r="I13" s="30">
        <f t="shared" si="0"/>
        <v>356999.8</v>
      </c>
      <c r="J13" s="44" t="str">
        <f t="shared" si="1"/>
        <v/>
      </c>
      <c r="M13" s="4">
        <f t="array" ref="M13">SMALL(IF($B$3:$B$29=M$6, $H$3:$H$29),$L8)</f>
        <v>23</v>
      </c>
      <c r="N13" s="4">
        <f t="array" ref="N13">SMALL(IF($B$3:$B$29=N$6, $H$3:$H$29),$L8)</f>
        <v>12</v>
      </c>
      <c r="O13" s="4">
        <f t="array" ref="O13">SMALL(IF($B$3:$B$29=O$6, $H$3:$H$29),$L8)</f>
        <v>12</v>
      </c>
      <c r="R13" s="4">
        <f t="shared" si="2"/>
        <v>0</v>
      </c>
    </row>
    <row r="14" spans="2:18">
      <c r="B14" s="27" t="s">
        <v>49</v>
      </c>
      <c r="C14" s="43">
        <v>42954</v>
      </c>
      <c r="D14" s="27">
        <v>1</v>
      </c>
      <c r="E14" s="28">
        <v>2</v>
      </c>
      <c r="F14" s="27" t="s">
        <v>50</v>
      </c>
      <c r="G14" s="29">
        <v>357000</v>
      </c>
      <c r="H14" s="19">
        <v>63</v>
      </c>
      <c r="I14" s="30">
        <f t="shared" si="0"/>
        <v>356999.7</v>
      </c>
      <c r="J14" s="44" t="str">
        <f t="shared" si="1"/>
        <v/>
      </c>
      <c r="M14" s="4">
        <f t="array" ref="M14">SMALL(IF($B$3:$B$29=M$6, $H$3:$H$29),$L9)</f>
        <v>28</v>
      </c>
      <c r="N14" s="4">
        <f t="array" ref="N14">SMALL(IF($B$3:$B$29=N$6, $H$3:$H$29),$L9)</f>
        <v>34</v>
      </c>
      <c r="O14" s="4">
        <f t="array" ref="O14">SMALL(IF($B$3:$B$29=O$6, $H$3:$H$29),$L9)</f>
        <v>15</v>
      </c>
      <c r="R14" s="4">
        <f t="shared" si="2"/>
        <v>0</v>
      </c>
    </row>
    <row r="15" spans="2:18">
      <c r="B15" s="27" t="s">
        <v>49</v>
      </c>
      <c r="C15" s="43">
        <v>42955</v>
      </c>
      <c r="D15" s="27">
        <v>4</v>
      </c>
      <c r="E15" s="28">
        <v>5</v>
      </c>
      <c r="F15" s="27" t="s">
        <v>51</v>
      </c>
      <c r="G15" s="29">
        <v>357000</v>
      </c>
      <c r="H15" s="19">
        <v>72</v>
      </c>
      <c r="I15" s="30">
        <f t="shared" si="0"/>
        <v>285599.8</v>
      </c>
      <c r="J15" s="44" t="str">
        <f t="shared" si="1"/>
        <v/>
      </c>
      <c r="R15" s="4">
        <f t="shared" si="2"/>
        <v>0.2</v>
      </c>
    </row>
    <row r="16" spans="2:18">
      <c r="B16" s="27" t="s">
        <v>49</v>
      </c>
      <c r="C16" s="43">
        <v>42956</v>
      </c>
      <c r="D16" s="27">
        <v>4</v>
      </c>
      <c r="E16" s="28">
        <v>3</v>
      </c>
      <c r="F16" s="27" t="s">
        <v>52</v>
      </c>
      <c r="G16" s="29">
        <v>357000</v>
      </c>
      <c r="H16" s="19">
        <v>34</v>
      </c>
      <c r="I16" s="30">
        <f t="shared" si="0"/>
        <v>285599.8</v>
      </c>
      <c r="J16" s="44" t="str">
        <f t="shared" si="1"/>
        <v/>
      </c>
    </row>
    <row r="17" spans="2:10">
      <c r="B17" s="27" t="s">
        <v>49</v>
      </c>
      <c r="C17" s="43">
        <v>42957</v>
      </c>
      <c r="D17" s="27">
        <v>1</v>
      </c>
      <c r="E17" s="28">
        <v>4</v>
      </c>
      <c r="F17" s="27" t="s">
        <v>53</v>
      </c>
      <c r="G17" s="29">
        <v>357000</v>
      </c>
      <c r="H17" s="19">
        <v>57</v>
      </c>
      <c r="I17" s="30">
        <f t="shared" si="0"/>
        <v>356999.8</v>
      </c>
      <c r="J17" s="44" t="str">
        <f t="shared" si="1"/>
        <v/>
      </c>
    </row>
    <row r="18" spans="2:10">
      <c r="B18" s="27" t="s">
        <v>49</v>
      </c>
      <c r="C18" s="43">
        <v>42968</v>
      </c>
      <c r="D18" s="27">
        <v>1</v>
      </c>
      <c r="E18" s="28">
        <v>4</v>
      </c>
      <c r="F18" s="27" t="s">
        <v>54</v>
      </c>
      <c r="G18" s="29">
        <v>357000</v>
      </c>
      <c r="H18" s="19">
        <v>93</v>
      </c>
      <c r="I18" s="30">
        <f t="shared" si="0"/>
        <v>356999.8</v>
      </c>
      <c r="J18" s="44" t="str">
        <f t="shared" si="1"/>
        <v>김겸성님은 할인대상</v>
      </c>
    </row>
    <row r="19" spans="2:10">
      <c r="B19" s="27" t="s">
        <v>49</v>
      </c>
      <c r="C19" s="43">
        <v>42969</v>
      </c>
      <c r="D19" s="27">
        <v>4</v>
      </c>
      <c r="E19" s="28">
        <v>4</v>
      </c>
      <c r="F19" s="27" t="s">
        <v>55</v>
      </c>
      <c r="G19" s="29">
        <v>357000</v>
      </c>
      <c r="H19" s="19">
        <v>71</v>
      </c>
      <c r="I19" s="30">
        <f t="shared" si="0"/>
        <v>285599.8</v>
      </c>
      <c r="J19" s="44" t="str">
        <f t="shared" si="1"/>
        <v>김수성님은 할인대상</v>
      </c>
    </row>
    <row r="20" spans="2:10">
      <c r="B20" s="27" t="s">
        <v>49</v>
      </c>
      <c r="C20" s="43">
        <v>42970</v>
      </c>
      <c r="D20" s="27">
        <v>4</v>
      </c>
      <c r="E20" s="28">
        <v>4</v>
      </c>
      <c r="F20" s="27" t="s">
        <v>56</v>
      </c>
      <c r="G20" s="29">
        <v>357000</v>
      </c>
      <c r="H20" s="19">
        <v>55</v>
      </c>
      <c r="I20" s="30">
        <f t="shared" si="0"/>
        <v>285599.8</v>
      </c>
      <c r="J20" s="44" t="str">
        <f t="shared" si="1"/>
        <v>김열성님은 할인대상</v>
      </c>
    </row>
    <row r="21" spans="2:10">
      <c r="B21" s="27" t="s">
        <v>36</v>
      </c>
      <c r="C21" s="43">
        <v>42971</v>
      </c>
      <c r="D21" s="27">
        <v>3</v>
      </c>
      <c r="E21" s="28">
        <v>4</v>
      </c>
      <c r="F21" s="27" t="s">
        <v>57</v>
      </c>
      <c r="G21" s="29">
        <v>390000</v>
      </c>
      <c r="H21" s="19">
        <v>78</v>
      </c>
      <c r="I21" s="30">
        <f t="shared" si="0"/>
        <v>350999.8</v>
      </c>
      <c r="J21" s="44" t="str">
        <f t="shared" si="1"/>
        <v>김호성님은 할인대상</v>
      </c>
    </row>
    <row r="22" spans="2:10">
      <c r="B22" s="27" t="s">
        <v>36</v>
      </c>
      <c r="C22" s="43">
        <v>42972</v>
      </c>
      <c r="D22" s="27">
        <v>3</v>
      </c>
      <c r="E22" s="28">
        <v>5</v>
      </c>
      <c r="F22" s="27" t="s">
        <v>58</v>
      </c>
      <c r="G22" s="29">
        <v>390000</v>
      </c>
      <c r="H22" s="19">
        <v>32</v>
      </c>
      <c r="I22" s="30">
        <f t="shared" si="0"/>
        <v>350999.8</v>
      </c>
      <c r="J22" s="44" t="str">
        <f t="shared" si="1"/>
        <v>김훈성님은 할인대상</v>
      </c>
    </row>
    <row r="23" spans="2:10">
      <c r="B23" s="27" t="s">
        <v>36</v>
      </c>
      <c r="C23" s="43">
        <v>42973</v>
      </c>
      <c r="D23" s="27">
        <v>2</v>
      </c>
      <c r="E23" s="28">
        <v>4</v>
      </c>
      <c r="F23" s="27" t="s">
        <v>59</v>
      </c>
      <c r="G23" s="29">
        <v>375000</v>
      </c>
      <c r="H23" s="19">
        <v>12</v>
      </c>
      <c r="I23" s="30">
        <f t="shared" si="0"/>
        <v>356249.8</v>
      </c>
      <c r="J23" s="44" t="str">
        <f t="shared" si="1"/>
        <v>김호수님은 할인대상</v>
      </c>
    </row>
    <row r="24" spans="2:10">
      <c r="B24" s="27" t="s">
        <v>36</v>
      </c>
      <c r="C24" s="43">
        <v>42974</v>
      </c>
      <c r="D24" s="27">
        <v>1</v>
      </c>
      <c r="E24" s="28">
        <v>4</v>
      </c>
      <c r="F24" s="27" t="s">
        <v>60</v>
      </c>
      <c r="G24" s="29">
        <v>390000</v>
      </c>
      <c r="H24" s="19">
        <v>15</v>
      </c>
      <c r="I24" s="30">
        <f t="shared" si="0"/>
        <v>389999.8</v>
      </c>
      <c r="J24" s="44" t="str">
        <f t="shared" si="1"/>
        <v>김식양님은 할인대상</v>
      </c>
    </row>
    <row r="25" spans="2:10">
      <c r="B25" s="27" t="s">
        <v>36</v>
      </c>
      <c r="C25" s="43">
        <v>42975</v>
      </c>
      <c r="D25" s="27">
        <v>2</v>
      </c>
      <c r="E25" s="28">
        <v>3</v>
      </c>
      <c r="F25" s="27" t="s">
        <v>61</v>
      </c>
      <c r="G25" s="29">
        <v>390000</v>
      </c>
      <c r="H25" s="19">
        <v>6</v>
      </c>
      <c r="I25" s="30">
        <f t="shared" si="0"/>
        <v>370499.8</v>
      </c>
      <c r="J25" s="44" t="str">
        <f t="shared" si="1"/>
        <v>김수연님은 할인대상</v>
      </c>
    </row>
    <row r="26" spans="2:10">
      <c r="B26" s="27" t="s">
        <v>36</v>
      </c>
      <c r="C26" s="43">
        <v>42962</v>
      </c>
      <c r="D26" s="27">
        <v>3</v>
      </c>
      <c r="E26" s="28">
        <v>5</v>
      </c>
      <c r="F26" s="27" t="s">
        <v>62</v>
      </c>
      <c r="G26" s="29">
        <v>390000</v>
      </c>
      <c r="H26" s="19">
        <v>80</v>
      </c>
      <c r="I26" s="30">
        <f t="shared" si="0"/>
        <v>350999.8</v>
      </c>
      <c r="J26" s="44" t="str">
        <f t="shared" si="1"/>
        <v/>
      </c>
    </row>
    <row r="27" spans="2:10">
      <c r="B27" s="27" t="s">
        <v>36</v>
      </c>
      <c r="C27" s="43">
        <v>42963</v>
      </c>
      <c r="D27" s="27">
        <v>4</v>
      </c>
      <c r="E27" s="28">
        <v>3</v>
      </c>
      <c r="F27" s="27" t="s">
        <v>63</v>
      </c>
      <c r="G27" s="29">
        <v>390000</v>
      </c>
      <c r="H27" s="19">
        <v>48</v>
      </c>
      <c r="I27" s="30">
        <f t="shared" si="0"/>
        <v>311999.8</v>
      </c>
      <c r="J27" s="44" t="str">
        <f t="shared" si="1"/>
        <v/>
      </c>
    </row>
    <row r="28" spans="2:10">
      <c r="B28" s="27" t="s">
        <v>36</v>
      </c>
      <c r="C28" s="43">
        <v>42964</v>
      </c>
      <c r="D28" s="27">
        <v>4</v>
      </c>
      <c r="E28" s="28">
        <v>3</v>
      </c>
      <c r="F28" s="27" t="s">
        <v>64</v>
      </c>
      <c r="G28" s="29">
        <v>390000</v>
      </c>
      <c r="H28" s="19">
        <v>43</v>
      </c>
      <c r="I28" s="30">
        <f t="shared" si="0"/>
        <v>311999.8</v>
      </c>
      <c r="J28" s="44" t="str">
        <f t="shared" si="1"/>
        <v/>
      </c>
    </row>
    <row r="29" spans="2:10">
      <c r="B29" s="27" t="s">
        <v>36</v>
      </c>
      <c r="C29" s="43">
        <v>42965</v>
      </c>
      <c r="D29" s="27">
        <v>3</v>
      </c>
      <c r="E29" s="28">
        <v>2</v>
      </c>
      <c r="F29" s="27" t="s">
        <v>65</v>
      </c>
      <c r="G29" s="29">
        <v>390000</v>
      </c>
      <c r="H29" s="19">
        <v>71</v>
      </c>
      <c r="I29" s="30">
        <f t="shared" si="0"/>
        <v>350999.7</v>
      </c>
      <c r="J29" s="44" t="str">
        <f t="shared" si="1"/>
        <v/>
      </c>
    </row>
    <row r="34" spans="2:16">
      <c r="B34" s="4" t="s">
        <v>72</v>
      </c>
    </row>
    <row r="35" spans="2:16">
      <c r="B35" s="6" t="s">
        <v>71</v>
      </c>
      <c r="C35" s="6" t="s">
        <v>67</v>
      </c>
      <c r="D35" s="6" t="s">
        <v>68</v>
      </c>
      <c r="E35" s="6" t="s">
        <v>66</v>
      </c>
      <c r="F35" s="6" t="s">
        <v>69</v>
      </c>
      <c r="G35" s="11" t="s">
        <v>70</v>
      </c>
    </row>
    <row r="36" spans="2:16">
      <c r="B36" s="32">
        <v>1</v>
      </c>
      <c r="C36" s="31">
        <v>3</v>
      </c>
      <c r="D36" s="31">
        <v>21</v>
      </c>
      <c r="E36" s="33">
        <v>5.5E-2</v>
      </c>
      <c r="F36" s="39">
        <v>5031124</v>
      </c>
      <c r="G36" s="35">
        <f>TRUNC(PMT(E36/12,C36*12,-F36))</f>
        <v>151919</v>
      </c>
      <c r="H36" s="36"/>
      <c r="I36" s="37"/>
      <c r="J36" s="36"/>
      <c r="K36" s="36"/>
      <c r="N36" s="47"/>
    </row>
    <row r="37" spans="2:16">
      <c r="B37" s="32">
        <v>2</v>
      </c>
      <c r="C37" s="31">
        <v>2</v>
      </c>
      <c r="D37" s="31">
        <v>25</v>
      </c>
      <c r="E37" s="33">
        <v>0.06</v>
      </c>
      <c r="F37" s="39">
        <v>7031124</v>
      </c>
      <c r="G37" s="35">
        <f t="shared" ref="G37:G54" si="3">TRUNC(PMT(E37/12,C37*12,-F37))</f>
        <v>311623</v>
      </c>
      <c r="H37" s="36"/>
      <c r="I37" s="37"/>
      <c r="J37" s="36"/>
      <c r="K37" s="36"/>
      <c r="N37" s="47"/>
    </row>
    <row r="38" spans="2:16">
      <c r="B38" s="32">
        <v>3</v>
      </c>
      <c r="C38" s="31">
        <v>2</v>
      </c>
      <c r="D38" s="31">
        <v>12</v>
      </c>
      <c r="E38" s="33">
        <v>0.06</v>
      </c>
      <c r="F38" s="39">
        <v>5531124</v>
      </c>
      <c r="G38" s="35">
        <f t="shared" si="3"/>
        <v>245142</v>
      </c>
      <c r="H38" s="36"/>
      <c r="J38" s="37" t="s">
        <v>83</v>
      </c>
      <c r="K38" s="36"/>
      <c r="L38" s="36"/>
      <c r="N38" s="4" t="s">
        <v>87</v>
      </c>
      <c r="O38" s="4" t="s">
        <v>88</v>
      </c>
    </row>
    <row r="39" spans="2:16">
      <c r="B39" s="32">
        <v>4</v>
      </c>
      <c r="C39" s="31">
        <v>4</v>
      </c>
      <c r="D39" s="31">
        <v>12</v>
      </c>
      <c r="E39" s="33">
        <v>0.05</v>
      </c>
      <c r="F39" s="39">
        <v>2031124</v>
      </c>
      <c r="G39" s="35">
        <f t="shared" si="3"/>
        <v>46775</v>
      </c>
      <c r="H39" s="36"/>
      <c r="J39" s="72" t="s">
        <v>74</v>
      </c>
      <c r="K39" s="73"/>
      <c r="L39" s="13" t="s">
        <v>73</v>
      </c>
      <c r="N39" s="4" t="s">
        <v>85</v>
      </c>
      <c r="O39" s="4" t="s">
        <v>86</v>
      </c>
      <c r="P39" s="4" t="s">
        <v>84</v>
      </c>
    </row>
    <row r="40" spans="2:16">
      <c r="B40" s="32">
        <v>5</v>
      </c>
      <c r="C40" s="31">
        <v>1</v>
      </c>
      <c r="D40" s="31">
        <v>15</v>
      </c>
      <c r="E40" s="33">
        <v>6.5000000000000002E-2</v>
      </c>
      <c r="F40" s="39">
        <v>5031124</v>
      </c>
      <c r="G40" s="35">
        <f t="shared" si="3"/>
        <v>434167</v>
      </c>
      <c r="H40" s="36"/>
      <c r="J40" s="40">
        <v>1</v>
      </c>
      <c r="K40" s="42">
        <v>19</v>
      </c>
      <c r="L40" s="41">
        <f t="array" ref="L40">ROUNDUP(MAX(($D$36:$D$54&gt;=J40)*($D$36:$D$54&lt;=K40)*($F$36:$F$54)),-2)</f>
        <v>5531200</v>
      </c>
      <c r="N40" s="48">
        <f t="array" ref="N40">ROUND(MAX(($D$36:$D$54&gt;=J40)*($D$36:$D$54&lt;=K40)*($F$36:$F$54)),-2)</f>
        <v>5531100</v>
      </c>
      <c r="O40" s="48">
        <f t="array" ref="O40">ROUNDDOWN(MAX(($D$36:$D$54&gt;=J40)*($D$36:$D$54&lt;=K40)*($F$36:$F$54)),-2)</f>
        <v>5531100</v>
      </c>
      <c r="P40" s="48">
        <f t="array" ref="P40">MAX(($D$36:$D$54&gt;=J40)*($D$36:$D$54&lt;=K40)*($F$36:$F$54))</f>
        <v>5531124</v>
      </c>
    </row>
    <row r="41" spans="2:16">
      <c r="B41" s="32">
        <v>6</v>
      </c>
      <c r="C41" s="31">
        <v>2</v>
      </c>
      <c r="D41" s="31">
        <v>57</v>
      </c>
      <c r="E41" s="33">
        <v>0.06</v>
      </c>
      <c r="F41" s="39">
        <v>10062248</v>
      </c>
      <c r="G41" s="35">
        <f t="shared" si="3"/>
        <v>445964</v>
      </c>
      <c r="H41" s="36"/>
      <c r="J41" s="40">
        <v>20</v>
      </c>
      <c r="K41" s="42">
        <v>39</v>
      </c>
      <c r="L41" s="41">
        <f t="array" ref="L41">ROUNDUP(MAX(($D$36:$D$54&gt;=J41)*($D$36:$D$54&lt;=K41)*($F$36:$F$54)),-2)</f>
        <v>10093400</v>
      </c>
      <c r="N41" s="48">
        <f t="array" ref="N41">ROUND(MAX(($D$36:$D$54&gt;=J41)*($D$36:$D$54&lt;=K41)*($F$36:$F$54)),-2)</f>
        <v>10093400</v>
      </c>
      <c r="O41" s="48">
        <f t="array" ref="O41">ROUNDDOWN(MAX(($D$36:$D$54&gt;=J41)*($D$36:$D$54&lt;=K41)*($F$36:$F$54)),-2)</f>
        <v>10093300</v>
      </c>
      <c r="P41" s="48">
        <f t="array" ref="P41">MAX(($D$36:$D$54&gt;=J41)*($D$36:$D$54&lt;=K41)*($F$36:$F$54))</f>
        <v>10093372</v>
      </c>
    </row>
    <row r="42" spans="2:16">
      <c r="B42" s="32">
        <v>7</v>
      </c>
      <c r="C42" s="31">
        <v>1</v>
      </c>
      <c r="D42" s="31">
        <v>5</v>
      </c>
      <c r="E42" s="33">
        <v>6.5000000000000002E-2</v>
      </c>
      <c r="F42" s="39">
        <v>2062248</v>
      </c>
      <c r="G42" s="35">
        <f t="shared" si="3"/>
        <v>177964</v>
      </c>
      <c r="H42" s="36"/>
      <c r="J42" s="40">
        <v>40</v>
      </c>
      <c r="K42" s="42">
        <v>59</v>
      </c>
      <c r="L42" s="41">
        <f t="array" ref="L42">ROUNDUP(MAX(($D$36:$D$54&gt;=J42)*($D$36:$D$54&lt;=K42)*($F$36:$F$54)),-2)</f>
        <v>23062300</v>
      </c>
      <c r="N42" s="48">
        <f t="array" ref="N42">ROUND(MAX(($D$36:$D$54&gt;=J42)*($D$36:$D$54&lt;=K42)*($F$36:$F$54)),-2)</f>
        <v>23062200</v>
      </c>
      <c r="O42" s="48">
        <f t="array" ref="O42">ROUNDDOWN(MAX(($D$36:$D$54&gt;=J42)*($D$36:$D$54&lt;=K42)*($F$36:$F$54)),-2)</f>
        <v>23062200</v>
      </c>
      <c r="P42" s="48">
        <f t="array" ref="P42">MAX(($D$36:$D$54&gt;=J42)*($D$36:$D$54&lt;=K42)*($F$36:$F$54))</f>
        <v>23062248</v>
      </c>
    </row>
    <row r="43" spans="2:16">
      <c r="B43" s="32">
        <v>8</v>
      </c>
      <c r="C43" s="31">
        <v>5</v>
      </c>
      <c r="D43" s="31">
        <v>56</v>
      </c>
      <c r="E43" s="33">
        <v>4.4999999999999998E-2</v>
      </c>
      <c r="F43" s="39">
        <v>23062248</v>
      </c>
      <c r="G43" s="35">
        <f t="shared" si="3"/>
        <v>429949</v>
      </c>
      <c r="H43" s="36"/>
      <c r="I43" s="37"/>
      <c r="J43" s="36"/>
      <c r="K43" s="36"/>
      <c r="L43" s="38"/>
      <c r="M43" s="38"/>
    </row>
    <row r="44" spans="2:16">
      <c r="B44" s="32">
        <v>9</v>
      </c>
      <c r="C44" s="31">
        <v>3</v>
      </c>
      <c r="D44" s="31">
        <v>35</v>
      </c>
      <c r="E44" s="33">
        <v>5.5E-2</v>
      </c>
      <c r="F44" s="39">
        <v>10093372</v>
      </c>
      <c r="G44" s="35">
        <f t="shared" si="3"/>
        <v>304778</v>
      </c>
      <c r="H44" s="36"/>
      <c r="I44" s="37"/>
      <c r="J44" s="36"/>
      <c r="K44" s="36"/>
      <c r="L44" s="38"/>
      <c r="M44" s="38"/>
    </row>
    <row r="45" spans="2:16">
      <c r="B45" s="32">
        <v>10</v>
      </c>
      <c r="C45" s="31">
        <v>1</v>
      </c>
      <c r="D45" s="31">
        <v>36</v>
      </c>
      <c r="E45" s="33">
        <v>6.5000000000000002E-2</v>
      </c>
      <c r="F45" s="39">
        <v>7093372</v>
      </c>
      <c r="G45" s="35">
        <f t="shared" si="3"/>
        <v>612132</v>
      </c>
      <c r="H45" s="36"/>
      <c r="I45" s="37"/>
      <c r="J45" s="36"/>
      <c r="K45" s="36"/>
      <c r="L45" s="38"/>
      <c r="M45" s="38"/>
    </row>
    <row r="46" spans="2:16">
      <c r="B46" s="32">
        <v>11</v>
      </c>
      <c r="C46" s="31">
        <v>1</v>
      </c>
      <c r="D46" s="31">
        <v>15</v>
      </c>
      <c r="E46" s="33">
        <v>6.5000000000000002E-2</v>
      </c>
      <c r="F46" s="39">
        <v>5093372</v>
      </c>
      <c r="G46" s="35">
        <f t="shared" si="3"/>
        <v>439539</v>
      </c>
      <c r="H46" s="36"/>
      <c r="I46" s="37"/>
      <c r="J46" s="36"/>
      <c r="K46" s="36"/>
      <c r="L46" s="38"/>
      <c r="M46" s="38"/>
    </row>
    <row r="47" spans="2:16">
      <c r="B47" s="32">
        <v>12</v>
      </c>
      <c r="C47" s="31">
        <v>5</v>
      </c>
      <c r="D47" s="31">
        <v>25</v>
      </c>
      <c r="E47" s="33">
        <v>4.4999999999999998E-2</v>
      </c>
      <c r="F47" s="39">
        <v>10093372</v>
      </c>
      <c r="G47" s="35">
        <f t="shared" si="3"/>
        <v>188170</v>
      </c>
      <c r="H47" s="36"/>
      <c r="I47" s="37"/>
      <c r="J47" s="36"/>
      <c r="K47" s="36"/>
      <c r="L47" s="38"/>
      <c r="M47" s="38"/>
    </row>
    <row r="48" spans="2:16">
      <c r="B48" s="32">
        <v>13</v>
      </c>
      <c r="C48" s="31">
        <v>5</v>
      </c>
      <c r="D48" s="31">
        <v>56</v>
      </c>
      <c r="E48" s="33">
        <v>4.4999999999999998E-2</v>
      </c>
      <c r="F48" s="39">
        <v>20062248</v>
      </c>
      <c r="G48" s="35">
        <f t="shared" si="3"/>
        <v>374020</v>
      </c>
      <c r="H48" s="36"/>
      <c r="I48" s="37"/>
      <c r="J48" s="36"/>
      <c r="K48" s="36"/>
    </row>
    <row r="49" spans="2:11">
      <c r="B49" s="32">
        <v>14</v>
      </c>
      <c r="C49" s="31">
        <v>1</v>
      </c>
      <c r="D49" s="31">
        <v>5</v>
      </c>
      <c r="E49" s="33">
        <v>6.5000000000000002E-2</v>
      </c>
      <c r="F49" s="39">
        <v>2062248</v>
      </c>
      <c r="G49" s="35">
        <f t="shared" si="3"/>
        <v>177964</v>
      </c>
      <c r="H49" s="36"/>
      <c r="I49" s="37"/>
      <c r="J49" s="36"/>
      <c r="K49" s="36"/>
    </row>
    <row r="50" spans="2:11">
      <c r="B50" s="32">
        <v>15</v>
      </c>
      <c r="C50" s="31">
        <v>2</v>
      </c>
      <c r="D50" s="31">
        <v>25</v>
      </c>
      <c r="E50" s="33">
        <v>0.06</v>
      </c>
      <c r="F50" s="39">
        <v>5062248</v>
      </c>
      <c r="G50" s="35">
        <f t="shared" si="3"/>
        <v>224361</v>
      </c>
      <c r="H50" s="36"/>
      <c r="I50" s="37"/>
      <c r="J50" s="36"/>
      <c r="K50" s="36"/>
    </row>
    <row r="51" spans="2:11">
      <c r="B51" s="32">
        <v>16</v>
      </c>
      <c r="C51" s="31">
        <v>1</v>
      </c>
      <c r="D51" s="31">
        <v>51</v>
      </c>
      <c r="E51" s="33">
        <v>6.5000000000000002E-2</v>
      </c>
      <c r="F51" s="39">
        <v>15062248</v>
      </c>
      <c r="G51" s="35">
        <f t="shared" si="3"/>
        <v>1299818</v>
      </c>
      <c r="H51" s="36"/>
      <c r="I51" s="37"/>
      <c r="J51" s="36"/>
      <c r="K51" s="36"/>
    </row>
    <row r="52" spans="2:11">
      <c r="B52" s="32">
        <v>17</v>
      </c>
      <c r="C52" s="31">
        <v>4</v>
      </c>
      <c r="D52" s="31">
        <v>5</v>
      </c>
      <c r="E52" s="33">
        <v>0.05</v>
      </c>
      <c r="F52" s="39">
        <v>2031124</v>
      </c>
      <c r="G52" s="35">
        <f t="shared" si="3"/>
        <v>46775</v>
      </c>
      <c r="H52" s="36"/>
      <c r="I52" s="37"/>
      <c r="J52" s="36"/>
      <c r="K52" s="36"/>
    </row>
    <row r="53" spans="2:11">
      <c r="B53" s="32">
        <v>18</v>
      </c>
      <c r="C53" s="31">
        <v>2</v>
      </c>
      <c r="D53" s="31">
        <v>20</v>
      </c>
      <c r="E53" s="33">
        <v>0.06</v>
      </c>
      <c r="F53" s="39">
        <v>5031124</v>
      </c>
      <c r="G53" s="35">
        <f t="shared" si="3"/>
        <v>222982</v>
      </c>
      <c r="H53" s="36"/>
      <c r="I53" s="37"/>
      <c r="J53" s="36"/>
      <c r="K53" s="36"/>
    </row>
    <row r="54" spans="2:11">
      <c r="B54" s="32">
        <v>19</v>
      </c>
      <c r="C54" s="31">
        <v>4</v>
      </c>
      <c r="D54" s="31">
        <v>35</v>
      </c>
      <c r="E54" s="33">
        <v>0.05</v>
      </c>
      <c r="F54" s="39">
        <v>10031124</v>
      </c>
      <c r="G54" s="35">
        <f t="shared" si="3"/>
        <v>231009</v>
      </c>
      <c r="H54" s="36"/>
      <c r="I54" s="37"/>
      <c r="J54" s="36"/>
      <c r="K54" s="36"/>
    </row>
  </sheetData>
  <mergeCells count="1">
    <mergeCell ref="J39:K3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Z20"/>
  <sheetViews>
    <sheetView workbookViewId="0">
      <selection activeCell="E38" sqref="E38"/>
    </sheetView>
  </sheetViews>
  <sheetFormatPr defaultRowHeight="16.5"/>
  <cols>
    <col min="1" max="1" width="12.125" style="7" customWidth="1"/>
    <col min="2" max="2" width="12.125" style="7" bestFit="1" customWidth="1"/>
    <col min="3" max="3" width="8.25" style="7" bestFit="1" customWidth="1"/>
    <col min="4" max="4" width="8.25" style="7" customWidth="1"/>
    <col min="5" max="8" width="8.25" style="7" bestFit="1" customWidth="1"/>
    <col min="9" max="9" width="9.375" style="7" bestFit="1" customWidth="1"/>
    <col min="10" max="51" width="8.5" style="7" customWidth="1"/>
    <col min="52" max="52" width="7.375" style="7" customWidth="1"/>
    <col min="53" max="16384" width="9" style="7"/>
  </cols>
  <sheetData>
    <row r="1" spans="1:52">
      <c r="A1" t="s">
        <v>279</v>
      </c>
      <c r="B1" t="s">
        <v>290</v>
      </c>
    </row>
    <row r="3" spans="1:52">
      <c r="A3" t="s">
        <v>292</v>
      </c>
      <c r="B3"/>
      <c r="C3" t="s">
        <v>293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>
      <c r="A4" t="s">
        <v>302</v>
      </c>
      <c r="B4" t="s">
        <v>280</v>
      </c>
      <c r="C4" t="s">
        <v>297</v>
      </c>
      <c r="D4" t="s">
        <v>298</v>
      </c>
      <c r="E4" t="s">
        <v>295</v>
      </c>
      <c r="F4" t="s">
        <v>296</v>
      </c>
      <c r="G4" t="s">
        <v>299</v>
      </c>
      <c r="H4" t="s">
        <v>294</v>
      </c>
      <c r="I4" t="s">
        <v>291</v>
      </c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2">
      <c r="A5" t="s">
        <v>300</v>
      </c>
      <c r="B5"/>
      <c r="C5" s="70"/>
      <c r="D5" s="70"/>
      <c r="E5" s="70"/>
      <c r="F5" s="70"/>
      <c r="G5" s="70"/>
      <c r="H5" s="70"/>
      <c r="I5" s="70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>
      <c r="A6"/>
      <c r="B6" t="s">
        <v>289</v>
      </c>
      <c r="C6" s="70">
        <v>601</v>
      </c>
      <c r="D6" s="70">
        <v>393</v>
      </c>
      <c r="E6" s="70"/>
      <c r="F6" s="70">
        <v>422</v>
      </c>
      <c r="G6" s="70"/>
      <c r="H6" s="70"/>
      <c r="I6" s="70">
        <v>1416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>
      <c r="A7"/>
      <c r="B7" t="s">
        <v>283</v>
      </c>
      <c r="C7" s="70">
        <v>1097</v>
      </c>
      <c r="D7" s="70"/>
      <c r="E7" s="70"/>
      <c r="F7" s="70">
        <v>271</v>
      </c>
      <c r="G7" s="70"/>
      <c r="H7" s="70"/>
      <c r="I7" s="70">
        <v>1368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>
      <c r="A8"/>
      <c r="B8" t="s">
        <v>282</v>
      </c>
      <c r="C8" s="70"/>
      <c r="D8" s="70">
        <v>987</v>
      </c>
      <c r="E8" s="70"/>
      <c r="F8" s="70"/>
      <c r="G8" s="70">
        <v>413</v>
      </c>
      <c r="H8" s="70"/>
      <c r="I8" s="70">
        <v>1400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>
      <c r="A9"/>
      <c r="B9" t="s">
        <v>285</v>
      </c>
      <c r="C9" s="70">
        <v>711</v>
      </c>
      <c r="D9" s="70">
        <v>1059</v>
      </c>
      <c r="E9" s="70"/>
      <c r="F9" s="70"/>
      <c r="G9" s="70"/>
      <c r="H9" s="70"/>
      <c r="I9" s="70">
        <v>1770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>
      <c r="A10" t="s">
        <v>303</v>
      </c>
      <c r="B10"/>
      <c r="C10" s="70">
        <v>2409</v>
      </c>
      <c r="D10" s="70">
        <v>2439</v>
      </c>
      <c r="E10" s="70"/>
      <c r="F10" s="70">
        <v>693</v>
      </c>
      <c r="G10" s="70">
        <v>413</v>
      </c>
      <c r="H10" s="70"/>
      <c r="I10" s="70">
        <v>5954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>
      <c r="A11" t="s">
        <v>301</v>
      </c>
      <c r="B11"/>
      <c r="C11" s="70"/>
      <c r="D11" s="70"/>
      <c r="E11" s="70"/>
      <c r="F11" s="70"/>
      <c r="G11" s="70"/>
      <c r="H11" s="70"/>
      <c r="I11" s="70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>
      <c r="A12"/>
      <c r="B12" t="s">
        <v>286</v>
      </c>
      <c r="C12" s="70">
        <v>760</v>
      </c>
      <c r="D12" s="70"/>
      <c r="E12" s="70"/>
      <c r="F12" s="70">
        <v>339</v>
      </c>
      <c r="G12" s="70"/>
      <c r="H12" s="70">
        <v>670</v>
      </c>
      <c r="I12" s="70">
        <v>1769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2">
      <c r="A13"/>
      <c r="B13" t="s">
        <v>288</v>
      </c>
      <c r="C13" s="70"/>
      <c r="D13" s="70"/>
      <c r="E13" s="70"/>
      <c r="F13" s="70">
        <v>1599</v>
      </c>
      <c r="G13" s="70">
        <v>395</v>
      </c>
      <c r="H13" s="70"/>
      <c r="I13" s="70">
        <v>1994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>
      <c r="A14"/>
      <c r="B14" t="s">
        <v>281</v>
      </c>
      <c r="C14" s="70">
        <v>374</v>
      </c>
      <c r="D14" s="70">
        <v>602</v>
      </c>
      <c r="E14" s="70">
        <v>759</v>
      </c>
      <c r="F14" s="70">
        <v>321</v>
      </c>
      <c r="G14" s="70">
        <v>676</v>
      </c>
      <c r="H14" s="70">
        <v>741</v>
      </c>
      <c r="I14" s="70">
        <v>3473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>
      <c r="A15"/>
      <c r="B15" t="s">
        <v>287</v>
      </c>
      <c r="C15" s="70"/>
      <c r="D15" s="70"/>
      <c r="E15" s="70">
        <v>2294</v>
      </c>
      <c r="F15" s="70">
        <v>330</v>
      </c>
      <c r="G15" s="70"/>
      <c r="H15" s="70"/>
      <c r="I15" s="70">
        <v>2624</v>
      </c>
    </row>
    <row r="16" spans="1:52">
      <c r="A16"/>
      <c r="B16" t="s">
        <v>284</v>
      </c>
      <c r="C16" s="70"/>
      <c r="D16" s="70">
        <v>404</v>
      </c>
      <c r="E16" s="70">
        <v>349</v>
      </c>
      <c r="F16" s="70"/>
      <c r="G16" s="70">
        <v>603</v>
      </c>
      <c r="H16" s="70"/>
      <c r="I16" s="70">
        <v>1356</v>
      </c>
    </row>
    <row r="17" spans="1:9">
      <c r="A17" t="s">
        <v>304</v>
      </c>
      <c r="B17"/>
      <c r="C17" s="70">
        <v>1134</v>
      </c>
      <c r="D17" s="70">
        <v>1006</v>
      </c>
      <c r="E17" s="70">
        <v>3402</v>
      </c>
      <c r="F17" s="70">
        <v>2589</v>
      </c>
      <c r="G17" s="70">
        <v>1674</v>
      </c>
      <c r="H17" s="70">
        <v>1411</v>
      </c>
      <c r="I17" s="70">
        <v>11216</v>
      </c>
    </row>
    <row r="18" spans="1:9">
      <c r="A18" t="s">
        <v>291</v>
      </c>
      <c r="B18"/>
      <c r="C18" s="70">
        <v>3543</v>
      </c>
      <c r="D18" s="70">
        <v>3445</v>
      </c>
      <c r="E18" s="70">
        <v>3402</v>
      </c>
      <c r="F18" s="70">
        <v>3282</v>
      </c>
      <c r="G18" s="70">
        <v>2087</v>
      </c>
      <c r="H18" s="70">
        <v>1411</v>
      </c>
      <c r="I18" s="70">
        <v>17170</v>
      </c>
    </row>
    <row r="19" spans="1:9">
      <c r="A19"/>
      <c r="B19"/>
      <c r="C19"/>
      <c r="D19"/>
      <c r="E19"/>
      <c r="F19"/>
      <c r="G19"/>
      <c r="H19"/>
      <c r="I19"/>
    </row>
    <row r="20" spans="1:9">
      <c r="A20"/>
      <c r="B20"/>
      <c r="C20"/>
      <c r="D20"/>
      <c r="E20"/>
      <c r="F20"/>
      <c r="G20"/>
      <c r="H20"/>
      <c r="I20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 filterMode="1"/>
  <dimension ref="B1:J41"/>
  <sheetViews>
    <sheetView workbookViewId="0">
      <selection activeCell="H51" sqref="H51"/>
    </sheetView>
  </sheetViews>
  <sheetFormatPr defaultRowHeight="16.5"/>
  <cols>
    <col min="2" max="2" width="12.625" customWidth="1"/>
    <col min="3" max="3" width="11.125" bestFit="1" customWidth="1"/>
    <col min="4" max="4" width="11.25" customWidth="1"/>
    <col min="5" max="5" width="13.25" customWidth="1"/>
    <col min="6" max="6" width="9" customWidth="1"/>
  </cols>
  <sheetData>
    <row r="1" spans="2:5">
      <c r="B1" t="s">
        <v>313</v>
      </c>
    </row>
    <row r="2" spans="2:5">
      <c r="B2" s="25" t="s">
        <v>71</v>
      </c>
      <c r="C2" s="12" t="s">
        <v>0</v>
      </c>
      <c r="D2" s="26" t="s">
        <v>33</v>
      </c>
      <c r="E2" s="25" t="s">
        <v>35</v>
      </c>
    </row>
    <row r="3" spans="2:5" hidden="1">
      <c r="B3" s="28" t="s">
        <v>314</v>
      </c>
      <c r="C3" s="71" t="s">
        <v>37</v>
      </c>
      <c r="D3" s="29">
        <v>300000</v>
      </c>
      <c r="E3" s="19">
        <v>12</v>
      </c>
    </row>
    <row r="4" spans="2:5" hidden="1">
      <c r="B4" s="28" t="s">
        <v>315</v>
      </c>
      <c r="C4" s="71" t="s">
        <v>38</v>
      </c>
      <c r="D4" s="29">
        <v>310000</v>
      </c>
      <c r="E4" s="19">
        <v>23</v>
      </c>
    </row>
    <row r="5" spans="2:5" hidden="1">
      <c r="B5" s="28" t="s">
        <v>316</v>
      </c>
      <c r="C5" s="71" t="s">
        <v>40</v>
      </c>
      <c r="D5" s="29">
        <v>320000</v>
      </c>
      <c r="E5" s="19">
        <v>45</v>
      </c>
    </row>
    <row r="6" spans="2:5" hidden="1">
      <c r="B6" s="28" t="s">
        <v>317</v>
      </c>
      <c r="C6" s="71" t="s">
        <v>41</v>
      </c>
      <c r="D6" s="29">
        <v>330000</v>
      </c>
      <c r="E6" s="19">
        <v>34</v>
      </c>
    </row>
    <row r="7" spans="2:5" hidden="1">
      <c r="B7" s="28" t="s">
        <v>318</v>
      </c>
      <c r="C7" s="71" t="s">
        <v>42</v>
      </c>
      <c r="D7" s="29">
        <v>340000</v>
      </c>
      <c r="E7" s="19">
        <v>32</v>
      </c>
    </row>
    <row r="8" spans="2:5" hidden="1">
      <c r="B8" s="28" t="s">
        <v>319</v>
      </c>
      <c r="C8" s="71" t="s">
        <v>43</v>
      </c>
      <c r="D8" s="29">
        <v>350000</v>
      </c>
      <c r="E8" s="19">
        <v>44</v>
      </c>
    </row>
    <row r="9" spans="2:5" hidden="1">
      <c r="B9" s="28" t="s">
        <v>320</v>
      </c>
      <c r="C9" s="71" t="s">
        <v>44</v>
      </c>
      <c r="D9" s="29">
        <v>360000</v>
      </c>
      <c r="E9" s="19">
        <v>37</v>
      </c>
    </row>
    <row r="10" spans="2:5" hidden="1">
      <c r="B10" s="28" t="s">
        <v>321</v>
      </c>
      <c r="C10" s="71" t="s">
        <v>45</v>
      </c>
      <c r="D10" s="29">
        <v>370000</v>
      </c>
      <c r="E10" s="19">
        <v>28</v>
      </c>
    </row>
    <row r="11" spans="2:5" hidden="1">
      <c r="B11" s="28" t="s">
        <v>322</v>
      </c>
      <c r="C11" s="71" t="s">
        <v>46</v>
      </c>
      <c r="D11" s="29">
        <v>380000</v>
      </c>
      <c r="E11" s="19">
        <v>12</v>
      </c>
    </row>
    <row r="12" spans="2:5" hidden="1">
      <c r="B12" s="28" t="s">
        <v>323</v>
      </c>
      <c r="C12" s="71" t="s">
        <v>47</v>
      </c>
      <c r="D12" s="29">
        <v>390000</v>
      </c>
      <c r="E12" s="19">
        <v>5</v>
      </c>
    </row>
    <row r="13" spans="2:5" hidden="1">
      <c r="B13" s="28" t="s">
        <v>324</v>
      </c>
      <c r="C13" s="71" t="s">
        <v>48</v>
      </c>
      <c r="D13" s="29">
        <v>400000</v>
      </c>
      <c r="E13" s="19">
        <v>59</v>
      </c>
    </row>
    <row r="14" spans="2:5">
      <c r="B14" s="28" t="s">
        <v>325</v>
      </c>
      <c r="C14" s="71" t="s">
        <v>50</v>
      </c>
      <c r="D14" s="29">
        <v>410000</v>
      </c>
      <c r="E14" s="19">
        <v>63</v>
      </c>
    </row>
    <row r="15" spans="2:5">
      <c r="B15" s="28" t="s">
        <v>326</v>
      </c>
      <c r="C15" s="71" t="s">
        <v>51</v>
      </c>
      <c r="D15" s="29">
        <v>420000</v>
      </c>
      <c r="E15" s="19">
        <v>72</v>
      </c>
    </row>
    <row r="16" spans="2:5" hidden="1">
      <c r="B16" s="28" t="s">
        <v>327</v>
      </c>
      <c r="C16" s="71" t="s">
        <v>52</v>
      </c>
      <c r="D16" s="29">
        <v>430000</v>
      </c>
      <c r="E16" s="19">
        <v>34</v>
      </c>
    </row>
    <row r="17" spans="2:10" hidden="1">
      <c r="B17" s="28" t="s">
        <v>328</v>
      </c>
      <c r="C17" s="71" t="s">
        <v>53</v>
      </c>
      <c r="D17" s="29">
        <v>440000</v>
      </c>
      <c r="E17" s="19">
        <v>57</v>
      </c>
    </row>
    <row r="18" spans="2:10" hidden="1">
      <c r="B18" s="28" t="s">
        <v>329</v>
      </c>
      <c r="C18" s="71" t="s">
        <v>54</v>
      </c>
      <c r="D18" s="29">
        <v>450000</v>
      </c>
      <c r="E18" s="19">
        <v>93</v>
      </c>
    </row>
    <row r="19" spans="2:10">
      <c r="B19" s="28" t="s">
        <v>330</v>
      </c>
      <c r="C19" s="71" t="s">
        <v>55</v>
      </c>
      <c r="D19" s="29">
        <v>460000</v>
      </c>
      <c r="E19" s="19">
        <v>71</v>
      </c>
    </row>
    <row r="20" spans="2:10" hidden="1">
      <c r="B20" s="28" t="s">
        <v>331</v>
      </c>
      <c r="C20" s="71" t="s">
        <v>56</v>
      </c>
      <c r="D20" s="29">
        <v>470000</v>
      </c>
      <c r="E20" s="19">
        <v>55</v>
      </c>
    </row>
    <row r="21" spans="2:10">
      <c r="B21" s="28" t="s">
        <v>332</v>
      </c>
      <c r="C21" s="71" t="s">
        <v>57</v>
      </c>
      <c r="D21" s="29">
        <v>480000</v>
      </c>
      <c r="E21" s="19">
        <v>78</v>
      </c>
    </row>
    <row r="22" spans="2:10" hidden="1">
      <c r="B22" s="28" t="s">
        <v>333</v>
      </c>
      <c r="C22" s="71" t="s">
        <v>58</v>
      </c>
      <c r="D22" s="29">
        <v>490000</v>
      </c>
      <c r="E22" s="19">
        <v>32</v>
      </c>
    </row>
    <row r="30" spans="2:10">
      <c r="B30" s="2" t="s">
        <v>127</v>
      </c>
      <c r="C30" s="2"/>
      <c r="D30" s="2"/>
      <c r="E30" s="2"/>
      <c r="F30" s="2"/>
      <c r="G30" s="2"/>
      <c r="H30" s="2"/>
      <c r="I30" s="2"/>
      <c r="J30" s="2"/>
    </row>
    <row r="31" spans="2:10">
      <c r="B31" s="17" t="s">
        <v>28</v>
      </c>
      <c r="C31" s="17" t="s">
        <v>2</v>
      </c>
      <c r="D31" s="17" t="s">
        <v>3</v>
      </c>
      <c r="E31" s="20" t="s">
        <v>23</v>
      </c>
      <c r="F31" s="20" t="s">
        <v>24</v>
      </c>
      <c r="G31" s="20" t="s">
        <v>25</v>
      </c>
      <c r="H31" s="20" t="s">
        <v>26</v>
      </c>
      <c r="I31" s="17" t="s">
        <v>4</v>
      </c>
      <c r="J31" s="21" t="s">
        <v>27</v>
      </c>
    </row>
    <row r="32" spans="2:10">
      <c r="B32" s="19">
        <v>1</v>
      </c>
      <c r="C32" s="18">
        <v>36834</v>
      </c>
      <c r="D32" s="19" t="s">
        <v>5</v>
      </c>
      <c r="E32" s="5">
        <v>90</v>
      </c>
      <c r="F32" s="5">
        <v>80</v>
      </c>
      <c r="G32" s="5">
        <v>80</v>
      </c>
      <c r="H32" s="5">
        <v>80</v>
      </c>
      <c r="I32" s="19" t="s">
        <v>6</v>
      </c>
      <c r="J32" s="22">
        <f>SUM(E32:H32)</f>
        <v>330</v>
      </c>
    </row>
    <row r="33" spans="2:10">
      <c r="B33" s="19">
        <v>2</v>
      </c>
      <c r="C33" s="18">
        <v>37138</v>
      </c>
      <c r="D33" s="19" t="s">
        <v>7</v>
      </c>
      <c r="E33" s="5">
        <v>80</v>
      </c>
      <c r="F33" s="5">
        <v>21</v>
      </c>
      <c r="G33" s="5">
        <v>70</v>
      </c>
      <c r="H33" s="5">
        <v>80</v>
      </c>
      <c r="I33" s="19" t="s">
        <v>6</v>
      </c>
      <c r="J33" s="22">
        <f t="shared" ref="J33:J41" si="0">SUM(E33:H33)</f>
        <v>251</v>
      </c>
    </row>
    <row r="34" spans="2:10">
      <c r="B34" s="19">
        <v>3</v>
      </c>
      <c r="C34" s="18">
        <v>36863</v>
      </c>
      <c r="D34" s="19" t="s">
        <v>8</v>
      </c>
      <c r="E34" s="5">
        <v>80</v>
      </c>
      <c r="F34" s="5">
        <v>90</v>
      </c>
      <c r="G34" s="5">
        <v>100</v>
      </c>
      <c r="H34" s="5">
        <v>90</v>
      </c>
      <c r="I34" s="19" t="s">
        <v>6</v>
      </c>
      <c r="J34" s="22">
        <f t="shared" si="0"/>
        <v>360</v>
      </c>
    </row>
    <row r="35" spans="2:10">
      <c r="B35" s="19">
        <v>4</v>
      </c>
      <c r="C35" s="18">
        <v>37167</v>
      </c>
      <c r="D35" s="19" t="s">
        <v>334</v>
      </c>
      <c r="E35" s="5">
        <v>79</v>
      </c>
      <c r="F35" s="5">
        <v>43</v>
      </c>
      <c r="G35" s="5">
        <v>60</v>
      </c>
      <c r="H35" s="5">
        <v>80</v>
      </c>
      <c r="I35" s="19" t="s">
        <v>6</v>
      </c>
      <c r="J35" s="22">
        <f t="shared" si="0"/>
        <v>262</v>
      </c>
    </row>
    <row r="36" spans="2:10">
      <c r="B36" s="19">
        <v>5</v>
      </c>
      <c r="C36" s="18">
        <v>36864</v>
      </c>
      <c r="D36" s="19" t="s">
        <v>10</v>
      </c>
      <c r="E36" s="5">
        <v>21</v>
      </c>
      <c r="F36" s="5">
        <v>63</v>
      </c>
      <c r="G36" s="5">
        <v>10</v>
      </c>
      <c r="H36" s="5">
        <v>100</v>
      </c>
      <c r="I36" s="19" t="s">
        <v>11</v>
      </c>
      <c r="J36" s="22">
        <f t="shared" si="0"/>
        <v>194</v>
      </c>
    </row>
    <row r="37" spans="2:10">
      <c r="B37" s="19">
        <v>6</v>
      </c>
      <c r="C37" s="18">
        <v>36905</v>
      </c>
      <c r="D37" s="19" t="s">
        <v>335</v>
      </c>
      <c r="E37" s="5">
        <v>0</v>
      </c>
      <c r="F37" s="5">
        <v>53</v>
      </c>
      <c r="G37" s="5">
        <v>10</v>
      </c>
      <c r="H37" s="5">
        <v>20</v>
      </c>
      <c r="I37" s="19" t="s">
        <v>11</v>
      </c>
      <c r="J37" s="22">
        <f t="shared" si="0"/>
        <v>83</v>
      </c>
    </row>
    <row r="38" spans="2:10">
      <c r="B38" s="19">
        <v>7</v>
      </c>
      <c r="C38" s="18">
        <v>36892</v>
      </c>
      <c r="D38" s="19" t="s">
        <v>13</v>
      </c>
      <c r="E38" s="5">
        <v>90</v>
      </c>
      <c r="F38" s="5">
        <v>100</v>
      </c>
      <c r="G38" s="5">
        <v>90</v>
      </c>
      <c r="H38" s="5">
        <v>100</v>
      </c>
      <c r="I38" s="19" t="s">
        <v>6</v>
      </c>
      <c r="J38" s="22">
        <f t="shared" si="0"/>
        <v>380</v>
      </c>
    </row>
    <row r="39" spans="2:10">
      <c r="B39" s="19">
        <v>8</v>
      </c>
      <c r="C39" s="18">
        <v>36894</v>
      </c>
      <c r="D39" s="19" t="s">
        <v>14</v>
      </c>
      <c r="E39" s="5">
        <v>0</v>
      </c>
      <c r="F39" s="5">
        <v>40</v>
      </c>
      <c r="G39" s="5">
        <v>10</v>
      </c>
      <c r="H39" s="5">
        <v>50</v>
      </c>
      <c r="I39" s="19" t="s">
        <v>6</v>
      </c>
      <c r="J39" s="22">
        <f t="shared" si="0"/>
        <v>100</v>
      </c>
    </row>
    <row r="40" spans="2:10">
      <c r="B40" s="19">
        <v>9</v>
      </c>
      <c r="C40" s="18">
        <v>36895</v>
      </c>
      <c r="D40" s="19" t="s">
        <v>336</v>
      </c>
      <c r="E40" s="5">
        <v>100</v>
      </c>
      <c r="F40" s="5">
        <v>100</v>
      </c>
      <c r="G40" s="5">
        <v>90</v>
      </c>
      <c r="H40" s="5">
        <v>85</v>
      </c>
      <c r="I40" s="19" t="s">
        <v>6</v>
      </c>
      <c r="J40" s="22">
        <f t="shared" si="0"/>
        <v>375</v>
      </c>
    </row>
    <row r="41" spans="2:10">
      <c r="B41" s="19">
        <v>10</v>
      </c>
      <c r="C41" s="18">
        <v>37135</v>
      </c>
      <c r="D41" s="19" t="s">
        <v>15</v>
      </c>
      <c r="E41" s="5">
        <v>80</v>
      </c>
      <c r="F41" s="5">
        <v>50</v>
      </c>
      <c r="G41" s="5">
        <v>0</v>
      </c>
      <c r="H41" s="5">
        <v>20</v>
      </c>
      <c r="I41" s="19" t="s">
        <v>6</v>
      </c>
      <c r="J41" s="22">
        <f t="shared" si="0"/>
        <v>150</v>
      </c>
    </row>
  </sheetData>
  <autoFilter ref="B2:E22" xr:uid="{00000000-0009-0000-0000-000004000000}">
    <filterColumn colId="2">
      <top10 val="10" filterVal="400000"/>
    </filterColumn>
    <filterColumn colId="3">
      <customFilters and="1">
        <customFilter operator="greaterThanOrEqual" val="60"/>
        <customFilter operator="lessThanOrEqual" val="80"/>
      </customFilters>
    </filterColumn>
  </autoFilter>
  <phoneticPr fontId="1" type="noConversion"/>
  <dataValidations count="1">
    <dataValidation type="textLength" errorStyle="warning" imeMode="halfHangul" operator="greaterThanOrEqual" allowBlank="1" showInputMessage="1" showErrorMessage="1" errorTitle="입력오류" error="2글자 이상을 입력하세요" sqref="D32:D41" xr:uid="{00000000-0002-0000-0400-000000000000}">
      <formula1>2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10"/>
  <sheetViews>
    <sheetView topLeftCell="A16" workbookViewId="0">
      <selection activeCell="G35" sqref="G35"/>
    </sheetView>
  </sheetViews>
  <sheetFormatPr defaultRowHeight="16.5"/>
  <cols>
    <col min="1" max="1" width="9" style="1"/>
    <col min="2" max="4" width="9" style="53"/>
    <col min="5" max="5" width="13.125" style="53" customWidth="1"/>
    <col min="6" max="6" width="12.5" style="53" customWidth="1"/>
    <col min="7" max="7" width="11.625" style="53" customWidth="1"/>
    <col min="8" max="9" width="9" style="53"/>
    <col min="10" max="11" width="9" style="1"/>
    <col min="12" max="16384" width="9" style="14"/>
  </cols>
  <sheetData>
    <row r="1" spans="2:7">
      <c r="C1" s="54"/>
      <c r="D1" s="54" t="s">
        <v>305</v>
      </c>
    </row>
    <row r="2" spans="2:7">
      <c r="B2" s="16" t="s">
        <v>306</v>
      </c>
      <c r="C2" s="16" t="s">
        <v>307</v>
      </c>
      <c r="D2" s="16" t="s">
        <v>308</v>
      </c>
      <c r="E2" s="16" t="s">
        <v>120</v>
      </c>
      <c r="F2" s="55" t="s">
        <v>121</v>
      </c>
      <c r="G2" s="55" t="s">
        <v>309</v>
      </c>
    </row>
    <row r="3" spans="2:7">
      <c r="B3" s="16" t="s">
        <v>310</v>
      </c>
      <c r="C3" s="56">
        <v>1500</v>
      </c>
      <c r="D3" s="57">
        <v>800</v>
      </c>
      <c r="E3" s="57">
        <v>880</v>
      </c>
      <c r="F3" s="58">
        <f t="shared" ref="F3:F10" si="0">E3/D3</f>
        <v>1.1000000000000001</v>
      </c>
      <c r="G3" s="59">
        <f t="shared" ref="G3:G10" si="1">C3*E3</f>
        <v>1320000</v>
      </c>
    </row>
    <row r="4" spans="2:7">
      <c r="B4" s="16" t="s">
        <v>122</v>
      </c>
      <c r="C4" s="56">
        <v>1000</v>
      </c>
      <c r="D4" s="57">
        <v>600</v>
      </c>
      <c r="E4" s="57">
        <v>560</v>
      </c>
      <c r="F4" s="58">
        <f t="shared" si="0"/>
        <v>0.93333333333333335</v>
      </c>
      <c r="G4" s="59">
        <f t="shared" si="1"/>
        <v>560000</v>
      </c>
    </row>
    <row r="5" spans="2:7">
      <c r="B5" s="16" t="s">
        <v>123</v>
      </c>
      <c r="C5" s="56">
        <v>1800</v>
      </c>
      <c r="D5" s="57">
        <v>550</v>
      </c>
      <c r="E5" s="57">
        <v>280</v>
      </c>
      <c r="F5" s="58">
        <f t="shared" si="0"/>
        <v>0.50909090909090904</v>
      </c>
      <c r="G5" s="59">
        <f t="shared" si="1"/>
        <v>504000</v>
      </c>
    </row>
    <row r="6" spans="2:7">
      <c r="B6" s="16" t="s">
        <v>311</v>
      </c>
      <c r="C6" s="56">
        <v>2000</v>
      </c>
      <c r="D6" s="57">
        <v>500</v>
      </c>
      <c r="E6" s="57">
        <v>540</v>
      </c>
      <c r="F6" s="58">
        <f t="shared" si="0"/>
        <v>1.08</v>
      </c>
      <c r="G6" s="59">
        <f t="shared" si="1"/>
        <v>1080000</v>
      </c>
    </row>
    <row r="7" spans="2:7">
      <c r="B7" s="16" t="s">
        <v>312</v>
      </c>
      <c r="C7" s="56">
        <v>2400</v>
      </c>
      <c r="D7" s="57">
        <v>300</v>
      </c>
      <c r="E7" s="57">
        <v>300</v>
      </c>
      <c r="F7" s="58">
        <f t="shared" si="0"/>
        <v>1</v>
      </c>
      <c r="G7" s="59">
        <f t="shared" si="1"/>
        <v>720000</v>
      </c>
    </row>
    <row r="8" spans="2:7">
      <c r="B8" s="16" t="s">
        <v>124</v>
      </c>
      <c r="C8" s="56">
        <v>1500</v>
      </c>
      <c r="D8" s="57">
        <v>450</v>
      </c>
      <c r="E8" s="57">
        <v>540</v>
      </c>
      <c r="F8" s="58">
        <f t="shared" si="0"/>
        <v>1.2</v>
      </c>
      <c r="G8" s="59">
        <f t="shared" si="1"/>
        <v>810000</v>
      </c>
    </row>
    <row r="9" spans="2:7">
      <c r="B9" s="16" t="s">
        <v>125</v>
      </c>
      <c r="C9" s="56">
        <v>1000</v>
      </c>
      <c r="D9" s="57">
        <v>600</v>
      </c>
      <c r="E9" s="57">
        <v>800</v>
      </c>
      <c r="F9" s="58">
        <f t="shared" si="0"/>
        <v>1.3333333333333333</v>
      </c>
      <c r="G9" s="59">
        <f t="shared" si="1"/>
        <v>800000</v>
      </c>
    </row>
    <row r="10" spans="2:7">
      <c r="B10" s="16" t="s">
        <v>126</v>
      </c>
      <c r="C10" s="56">
        <v>2400</v>
      </c>
      <c r="D10" s="57">
        <v>500</v>
      </c>
      <c r="E10" s="57">
        <v>520</v>
      </c>
      <c r="F10" s="58">
        <f t="shared" si="0"/>
        <v>1.04</v>
      </c>
      <c r="G10" s="59">
        <f t="shared" si="1"/>
        <v>1248000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14"/>
  <sheetViews>
    <sheetView workbookViewId="0">
      <selection activeCell="O17" sqref="O17"/>
    </sheetView>
  </sheetViews>
  <sheetFormatPr defaultRowHeight="16.5"/>
  <cols>
    <col min="1" max="1" width="11.125" style="15" bestFit="1" customWidth="1"/>
    <col min="2" max="5" width="9" style="15"/>
    <col min="6" max="6" width="14.25" style="15" bestFit="1" customWidth="1"/>
    <col min="7" max="7" width="13.125" style="15" bestFit="1" customWidth="1"/>
    <col min="8" max="8" width="9" style="7"/>
    <col min="9" max="16384" width="9" style="2"/>
  </cols>
  <sheetData>
    <row r="1" spans="1:7" ht="26.25">
      <c r="A1" s="74" t="s">
        <v>90</v>
      </c>
      <c r="B1" s="74"/>
      <c r="C1" s="74"/>
      <c r="D1" s="74"/>
      <c r="E1" s="74"/>
      <c r="F1" s="74"/>
      <c r="G1" s="74"/>
    </row>
    <row r="3" spans="1:7">
      <c r="A3" s="49" t="s">
        <v>91</v>
      </c>
      <c r="B3" s="49" t="s">
        <v>92</v>
      </c>
      <c r="C3" s="49" t="s">
        <v>93</v>
      </c>
      <c r="D3" s="49" t="s">
        <v>94</v>
      </c>
      <c r="E3" s="49" t="s">
        <v>95</v>
      </c>
      <c r="F3" s="49" t="s">
        <v>96</v>
      </c>
      <c r="G3" s="49" t="s">
        <v>97</v>
      </c>
    </row>
    <row r="4" spans="1:7">
      <c r="A4" s="12" t="s">
        <v>98</v>
      </c>
      <c r="B4" s="12" t="s">
        <v>99</v>
      </c>
      <c r="C4" s="12" t="s">
        <v>100</v>
      </c>
      <c r="D4" s="12" t="s">
        <v>101</v>
      </c>
      <c r="E4" s="50">
        <v>6</v>
      </c>
      <c r="F4" s="51">
        <v>1200000</v>
      </c>
      <c r="G4" s="51">
        <f t="shared" ref="G4:G12" si="0">F4+(F4*$B$14)</f>
        <v>1500000</v>
      </c>
    </row>
    <row r="5" spans="1:7">
      <c r="A5" s="12" t="s">
        <v>102</v>
      </c>
      <c r="B5" s="12" t="s">
        <v>103</v>
      </c>
      <c r="C5" s="12" t="s">
        <v>104</v>
      </c>
      <c r="D5" s="12" t="s">
        <v>105</v>
      </c>
      <c r="E5" s="50">
        <v>10</v>
      </c>
      <c r="F5" s="51">
        <v>1350000</v>
      </c>
      <c r="G5" s="51">
        <f t="shared" si="0"/>
        <v>1687500</v>
      </c>
    </row>
    <row r="6" spans="1:7">
      <c r="A6" s="12" t="s">
        <v>106</v>
      </c>
      <c r="B6" s="12" t="s">
        <v>107</v>
      </c>
      <c r="C6" s="12" t="s">
        <v>108</v>
      </c>
      <c r="D6" s="12" t="s">
        <v>109</v>
      </c>
      <c r="E6" s="50">
        <v>30</v>
      </c>
      <c r="F6" s="51">
        <v>1450000</v>
      </c>
      <c r="G6" s="51">
        <f t="shared" si="0"/>
        <v>1812500</v>
      </c>
    </row>
    <row r="7" spans="1:7">
      <c r="A7" s="12" t="s">
        <v>110</v>
      </c>
      <c r="B7" s="12" t="s">
        <v>111</v>
      </c>
      <c r="C7" s="12" t="s">
        <v>104</v>
      </c>
      <c r="D7" s="12" t="s">
        <v>105</v>
      </c>
      <c r="E7" s="50">
        <v>25</v>
      </c>
      <c r="F7" s="51">
        <v>1350000</v>
      </c>
      <c r="G7" s="51">
        <f t="shared" si="0"/>
        <v>1687500</v>
      </c>
    </row>
    <row r="8" spans="1:7">
      <c r="A8" s="12" t="s">
        <v>112</v>
      </c>
      <c r="B8" s="12" t="s">
        <v>107</v>
      </c>
      <c r="C8" s="12" t="s">
        <v>104</v>
      </c>
      <c r="D8" s="12" t="s">
        <v>105</v>
      </c>
      <c r="E8" s="50">
        <v>20</v>
      </c>
      <c r="F8" s="51">
        <v>1350000</v>
      </c>
      <c r="G8" s="51">
        <f t="shared" si="0"/>
        <v>1687500</v>
      </c>
    </row>
    <row r="9" spans="1:7">
      <c r="A9" s="12" t="s">
        <v>113</v>
      </c>
      <c r="B9" s="12" t="s">
        <v>107</v>
      </c>
      <c r="C9" s="12" t="s">
        <v>114</v>
      </c>
      <c r="D9" s="12" t="s">
        <v>115</v>
      </c>
      <c r="E9" s="50">
        <v>18</v>
      </c>
      <c r="F9" s="51">
        <v>1200000</v>
      </c>
      <c r="G9" s="51">
        <f t="shared" si="0"/>
        <v>1500000</v>
      </c>
    </row>
    <row r="10" spans="1:7">
      <c r="A10" s="12" t="s">
        <v>116</v>
      </c>
      <c r="B10" s="12" t="s">
        <v>103</v>
      </c>
      <c r="C10" s="12" t="s">
        <v>108</v>
      </c>
      <c r="D10" s="12" t="s">
        <v>109</v>
      </c>
      <c r="E10" s="50">
        <v>28</v>
      </c>
      <c r="F10" s="51">
        <v>1450000</v>
      </c>
      <c r="G10" s="51">
        <f t="shared" si="0"/>
        <v>1812500</v>
      </c>
    </row>
    <row r="11" spans="1:7">
      <c r="A11" s="12" t="s">
        <v>117</v>
      </c>
      <c r="B11" s="12" t="s">
        <v>111</v>
      </c>
      <c r="C11" s="12" t="s">
        <v>108</v>
      </c>
      <c r="D11" s="12" t="s">
        <v>109</v>
      </c>
      <c r="E11" s="50">
        <v>24</v>
      </c>
      <c r="F11" s="51">
        <v>1450000</v>
      </c>
      <c r="G11" s="51">
        <f t="shared" si="0"/>
        <v>1812500</v>
      </c>
    </row>
    <row r="12" spans="1:7">
      <c r="A12" s="12" t="s">
        <v>118</v>
      </c>
      <c r="B12" s="12" t="s">
        <v>103</v>
      </c>
      <c r="C12" s="12" t="s">
        <v>114</v>
      </c>
      <c r="D12" s="12" t="s">
        <v>115</v>
      </c>
      <c r="E12" s="50">
        <v>15</v>
      </c>
      <c r="F12" s="51">
        <v>1200000</v>
      </c>
      <c r="G12" s="51">
        <f t="shared" si="0"/>
        <v>1500000</v>
      </c>
    </row>
    <row r="14" spans="1:7">
      <c r="A14" s="49" t="s">
        <v>119</v>
      </c>
      <c r="B14" s="52">
        <v>0.24999999999999997</v>
      </c>
    </row>
  </sheetData>
  <dataConsolidate/>
  <mergeCells count="1">
    <mergeCell ref="A1:G1"/>
  </mergeCells>
  <phoneticPr fontId="1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아이콘표시">
                <anchor moveWithCells="1" siz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4629470-5519-4637-B526-38EBEE9635E3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m:sqref>E4:E12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L16"/>
  <sheetViews>
    <sheetView tabSelected="1" workbookViewId="0">
      <selection activeCell="L17" sqref="L17"/>
    </sheetView>
  </sheetViews>
  <sheetFormatPr defaultRowHeight="16.5"/>
  <cols>
    <col min="1" max="1" width="4.875" style="2" customWidth="1"/>
    <col min="2" max="2" width="12.75" style="3" customWidth="1"/>
    <col min="3" max="4" width="9" style="3"/>
    <col min="5" max="6" width="9" style="61"/>
    <col min="7" max="7" width="11.75" style="2" customWidth="1"/>
    <col min="8" max="8" width="9" style="2"/>
    <col min="9" max="9" width="9" style="3"/>
    <col min="10" max="12" width="9" style="2"/>
    <col min="13" max="16384" width="9" style="1"/>
  </cols>
  <sheetData>
    <row r="2" spans="2:12">
      <c r="B2" s="60"/>
    </row>
    <row r="4" spans="2:12">
      <c r="B4" s="3" t="s">
        <v>1</v>
      </c>
      <c r="I4" s="3" t="s">
        <v>127</v>
      </c>
      <c r="J4" s="75" t="s">
        <v>128</v>
      </c>
      <c r="K4" s="75"/>
      <c r="L4" s="75"/>
    </row>
    <row r="5" spans="2:12">
      <c r="B5" s="62" t="s">
        <v>129</v>
      </c>
      <c r="C5" s="63" t="s">
        <v>130</v>
      </c>
      <c r="D5" s="63" t="s">
        <v>128</v>
      </c>
      <c r="E5" s="64" t="s">
        <v>131</v>
      </c>
      <c r="F5" s="64" t="s">
        <v>132</v>
      </c>
      <c r="G5" s="65" t="s">
        <v>133</v>
      </c>
      <c r="I5" s="27" t="s">
        <v>130</v>
      </c>
      <c r="J5" s="27" t="s">
        <v>134</v>
      </c>
      <c r="K5" s="27" t="s">
        <v>135</v>
      </c>
      <c r="L5" s="27" t="s">
        <v>136</v>
      </c>
    </row>
    <row r="6" spans="2:12">
      <c r="B6" s="66"/>
      <c r="C6" s="27"/>
      <c r="D6" s="27"/>
      <c r="E6" s="29"/>
      <c r="F6" s="29"/>
      <c r="G6" s="19"/>
      <c r="I6" s="27" t="s">
        <v>137</v>
      </c>
      <c r="J6" s="29">
        <v>5600</v>
      </c>
      <c r="K6" s="29">
        <v>7900</v>
      </c>
      <c r="L6" s="29">
        <v>9900</v>
      </c>
    </row>
    <row r="7" spans="2:12">
      <c r="B7" s="66"/>
      <c r="C7" s="27"/>
      <c r="D7" s="27"/>
      <c r="E7" s="29"/>
      <c r="F7" s="29"/>
      <c r="G7" s="19"/>
      <c r="I7" s="27" t="s">
        <v>138</v>
      </c>
      <c r="J7" s="29">
        <v>5800</v>
      </c>
      <c r="K7" s="29">
        <v>6300</v>
      </c>
      <c r="L7" s="29">
        <v>7100</v>
      </c>
    </row>
    <row r="8" spans="2:12">
      <c r="B8" s="66"/>
      <c r="C8" s="27"/>
      <c r="D8" s="27"/>
      <c r="E8" s="29"/>
      <c r="F8" s="29"/>
      <c r="G8" s="19"/>
      <c r="I8" s="27" t="s">
        <v>49</v>
      </c>
      <c r="J8" s="29">
        <v>7600</v>
      </c>
      <c r="K8" s="29">
        <v>11200</v>
      </c>
      <c r="L8" s="29">
        <v>12300</v>
      </c>
    </row>
    <row r="9" spans="2:12">
      <c r="B9" s="66"/>
      <c r="C9" s="27"/>
      <c r="D9" s="27"/>
      <c r="E9" s="29"/>
      <c r="F9" s="29"/>
      <c r="G9" s="19"/>
      <c r="I9" s="27" t="s">
        <v>139</v>
      </c>
      <c r="J9" s="29">
        <v>11600</v>
      </c>
      <c r="K9" s="29">
        <v>17100</v>
      </c>
      <c r="L9" s="29">
        <v>18800</v>
      </c>
    </row>
    <row r="10" spans="2:12">
      <c r="B10" s="66"/>
      <c r="C10" s="27"/>
      <c r="D10" s="27"/>
      <c r="E10" s="29"/>
      <c r="F10" s="29"/>
      <c r="G10" s="19"/>
      <c r="I10" s="27" t="s">
        <v>140</v>
      </c>
      <c r="J10" s="29">
        <v>13600</v>
      </c>
      <c r="K10" s="29">
        <v>20100</v>
      </c>
      <c r="L10" s="29">
        <v>22100</v>
      </c>
    </row>
    <row r="11" spans="2:12">
      <c r="B11" s="66"/>
      <c r="C11" s="27"/>
      <c r="D11" s="27"/>
      <c r="E11" s="29"/>
      <c r="F11" s="29"/>
      <c r="G11" s="19"/>
      <c r="I11" s="27" t="s">
        <v>141</v>
      </c>
      <c r="J11" s="29">
        <v>16300</v>
      </c>
      <c r="K11" s="29">
        <v>24200</v>
      </c>
      <c r="L11" s="29">
        <v>26600</v>
      </c>
    </row>
    <row r="12" spans="2:12">
      <c r="B12" s="66"/>
      <c r="C12" s="27"/>
      <c r="D12" s="27"/>
      <c r="E12" s="29"/>
      <c r="F12" s="29"/>
      <c r="G12" s="19"/>
      <c r="I12" s="27" t="s">
        <v>142</v>
      </c>
      <c r="J12" s="29">
        <v>17400</v>
      </c>
      <c r="K12" s="29">
        <v>25800</v>
      </c>
      <c r="L12" s="29">
        <v>28400</v>
      </c>
    </row>
    <row r="13" spans="2:12">
      <c r="B13" s="66"/>
      <c r="C13" s="27"/>
      <c r="D13" s="27"/>
      <c r="E13" s="29"/>
      <c r="F13" s="29"/>
      <c r="G13" s="19"/>
      <c r="I13" s="27" t="s">
        <v>143</v>
      </c>
      <c r="J13" s="29">
        <v>18300</v>
      </c>
      <c r="K13" s="29">
        <v>27300</v>
      </c>
      <c r="L13" s="29">
        <v>30300</v>
      </c>
    </row>
    <row r="14" spans="2:12">
      <c r="B14" s="66"/>
      <c r="C14" s="27"/>
      <c r="D14" s="27"/>
      <c r="E14" s="29"/>
      <c r="F14" s="29"/>
      <c r="G14" s="19"/>
      <c r="I14" s="27" t="s">
        <v>36</v>
      </c>
      <c r="J14" s="29">
        <v>18400</v>
      </c>
      <c r="K14" s="29">
        <v>27400</v>
      </c>
      <c r="L14" s="29">
        <v>30100</v>
      </c>
    </row>
    <row r="15" spans="2:12">
      <c r="B15" s="66"/>
      <c r="C15" s="27"/>
      <c r="D15" s="27"/>
      <c r="E15" s="29"/>
      <c r="F15" s="29"/>
      <c r="G15" s="19"/>
    </row>
    <row r="16" spans="2:12">
      <c r="B16" s="60"/>
    </row>
  </sheetData>
  <mergeCells count="1">
    <mergeCell ref="J4:L4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예약">
          <controlPr defaultSize="0" autoLine="0" r:id="rId4">
            <anchor moveWithCells="1">
              <from>
                <xdr:col>4</xdr:col>
                <xdr:colOff>600075</xdr:colOff>
                <xdr:row>0</xdr:row>
                <xdr:rowOff>142875</xdr:rowOff>
              </from>
              <to>
                <xdr:col>6</xdr:col>
                <xdr:colOff>800100</xdr:colOff>
                <xdr:row>2</xdr:row>
                <xdr:rowOff>104775</xdr:rowOff>
              </to>
            </anchor>
          </controlPr>
        </control>
      </mc:Choice>
      <mc:Fallback>
        <control shapeId="5121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'기본작업-1'!MS_Access_Database_Query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User</cp:lastModifiedBy>
  <cp:lastPrinted>2017-11-09T05:06:13Z</cp:lastPrinted>
  <dcterms:created xsi:type="dcterms:W3CDTF">2016-04-11T07:21:32Z</dcterms:created>
  <dcterms:modified xsi:type="dcterms:W3CDTF">2021-06-16T00:57:22Z</dcterms:modified>
</cp:coreProperties>
</file>