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4-특강(3단계)\05-시험직전모의고사 엑셀10\"/>
    </mc:Choice>
  </mc:AlternateContent>
  <bookViews>
    <workbookView showVerticalScroll="0" xWindow="600" yWindow="60" windowWidth="8685" windowHeight="4590" tabRatio="540"/>
  </bookViews>
  <sheets>
    <sheet name="기본작업-1" sheetId="2" r:id="rId1"/>
    <sheet name="기본작업-2" sheetId="9" r:id="rId2"/>
    <sheet name="계산작업" sheetId="3" r:id="rId3"/>
    <sheet name="계산작업2" sheetId="11" r:id="rId4"/>
    <sheet name="분석작업-1" sheetId="4" r:id="rId5"/>
    <sheet name="분석작업-2" sheetId="5" r:id="rId6"/>
    <sheet name="기타작업-1" sheetId="6" r:id="rId7"/>
    <sheet name="기타작업-2" sheetId="13" r:id="rId8"/>
    <sheet name="기타작업-3" sheetId="8" r:id="rId9"/>
  </sheets>
  <functionGroups builtInGroupCount="18"/>
  <externalReferences>
    <externalReference r:id="rId10"/>
  </externalReferences>
  <definedNames>
    <definedName name="_xlnm._FilterDatabase" localSheetId="0" hidden="1">'기본작업-1'!$B$1:$G$21</definedName>
    <definedName name="_xlnm._FilterDatabase" localSheetId="5" hidden="1">'분석작업-2'!$B$2:$H$28</definedName>
    <definedName name="_xlnm.Criteria" localSheetId="0">'기본작업-1'!$B$23:$B$24</definedName>
    <definedName name="_xlnm.Extract" localSheetId="0">'기본작업-1'!$B$28:$E$28</definedName>
    <definedName name="_xlnm.Print_Area" localSheetId="0">'기본작업-1'!#REF!</definedName>
  </definedNames>
  <calcPr calcId="162913"/>
  <pivotCaches>
    <pivotCache cacheId="0" r:id="rId11"/>
  </pivotCaches>
  <extLst>
    <ext xmlns:x15="http://schemas.microsoft.com/office/spreadsheetml/2010/11/main" uri="{FCE2AD5D-F65C-4FA6-A056-5C36A1767C68}">
      <x15:dataModel>
        <x15:modelTables>
          <x15:modelTable id="관리자료" name="관리자료" connection="관리자료"/>
        </x15:modelTables>
      </x15:dataModel>
    </ext>
  </extLst>
</workbook>
</file>

<file path=xl/calcChain.xml><?xml version="1.0" encoding="utf-8"?>
<calcChain xmlns="http://schemas.openxmlformats.org/spreadsheetml/2006/main">
  <c r="B24" i="2" l="1"/>
  <c r="H25" i="2"/>
  <c r="G24" i="2"/>
  <c r="E25" i="2"/>
  <c r="E51" i="11" l="1"/>
  <c r="E48" i="11" a="1"/>
  <c r="E48" i="11" s="1"/>
  <c r="C48" i="11" a="1"/>
  <c r="C48" i="11" s="1"/>
  <c r="Z11" i="11" l="1" a="1"/>
  <c r="Z11" i="11" s="1"/>
  <c r="Z12" i="11" a="1"/>
  <c r="Z12" i="11" s="1"/>
  <c r="Y12" i="11" a="1"/>
  <c r="Y12" i="11" s="1"/>
  <c r="Y11" i="11" a="1"/>
  <c r="Y11" i="11" s="1"/>
  <c r="Z7" i="11" a="1"/>
  <c r="Z7" i="11" s="1"/>
  <c r="Z8" i="11" a="1"/>
  <c r="Z8" i="11" s="1"/>
  <c r="Y8" i="11" a="1"/>
  <c r="Y8" i="11" s="1"/>
  <c r="Y7" i="11" a="1"/>
  <c r="Y7" i="11" s="1"/>
  <c r="Z3" i="11" a="1"/>
  <c r="Z3" i="11" s="1"/>
  <c r="Z4" i="11" a="1"/>
  <c r="Z4" i="11" s="1"/>
  <c r="Y4" i="11" a="1"/>
  <c r="Y4" i="11" s="1"/>
  <c r="Y3" i="11" a="1"/>
  <c r="Y3" i="11" s="1"/>
  <c r="K8" i="11" l="1" a="1"/>
  <c r="K8" i="11" s="1"/>
  <c r="M3" i="11" a="1"/>
  <c r="M3" i="11" s="1"/>
  <c r="N3" i="11" a="1"/>
  <c r="N3" i="11" s="1"/>
  <c r="M4" i="11" a="1"/>
  <c r="M4" i="11" s="1"/>
  <c r="N4" i="11" a="1"/>
  <c r="N4" i="11" s="1"/>
  <c r="M5" i="11" a="1"/>
  <c r="M5" i="11" s="1"/>
  <c r="N5" i="11" a="1"/>
  <c r="N5" i="11" s="1"/>
  <c r="L4" i="11" a="1"/>
  <c r="L4" i="11" s="1"/>
  <c r="L5" i="11" a="1"/>
  <c r="L5" i="11" s="1"/>
  <c r="L3" i="11" a="1"/>
  <c r="L3" i="11" s="1"/>
  <c r="I4" i="11" l="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" i="11"/>
  <c r="O44" i="3" l="1"/>
  <c r="M44" i="3"/>
  <c r="F28" i="3"/>
  <c r="G57" i="3"/>
  <c r="G58" i="3"/>
  <c r="G51" i="3"/>
  <c r="G52" i="3"/>
  <c r="G55" i="3"/>
  <c r="G56" i="3"/>
  <c r="G50" i="3"/>
  <c r="G59" i="3"/>
  <c r="G54" i="3"/>
  <c r="G53" i="3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3" i="3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관리자료" type="103" refreshedVersion="6" minRefreshableVersion="5">
    <extLst>
      <ext xmlns:x15="http://schemas.microsoft.com/office/spreadsheetml/2010/11/main" uri="{DE250136-89BD-433C-8126-D09CA5730AF9}">
        <x15:connection id="관리자료" autoDelete="1">
          <x15:textPr prompt="0" codePage="949" sourceFile="C:\OA\관리자료.csv" tab="0" comma="1">
            <textFields count="7">
              <textField type="skip"/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sharedStrings.xml><?xml version="1.0" encoding="utf-8"?>
<sst xmlns="http://schemas.openxmlformats.org/spreadsheetml/2006/main" count="637" uniqueCount="328">
  <si>
    <t>이름</t>
  </si>
  <si>
    <t>홍길동</t>
  </si>
  <si>
    <t>이도현</t>
  </si>
  <si>
    <t>한미우</t>
  </si>
  <si>
    <t>박정진</t>
  </si>
  <si>
    <t>최재석</t>
  </si>
  <si>
    <t>김한응</t>
  </si>
  <si>
    <t>이미라</t>
  </si>
  <si>
    <t>백준걸</t>
  </si>
  <si>
    <t>고수정</t>
  </si>
  <si>
    <t>유응구</t>
  </si>
  <si>
    <t>안은민</t>
  </si>
  <si>
    <t>이병열</t>
  </si>
  <si>
    <t>성별</t>
  </si>
  <si>
    <t>남</t>
  </si>
  <si>
    <t>강북</t>
  </si>
  <si>
    <t>한성현</t>
  </si>
  <si>
    <t>도봉</t>
  </si>
  <si>
    <t>김영득</t>
  </si>
  <si>
    <t>노원</t>
  </si>
  <si>
    <t>중랑</t>
  </si>
  <si>
    <t>정은희</t>
  </si>
  <si>
    <t>여</t>
  </si>
  <si>
    <t>김양현</t>
  </si>
  <si>
    <t>심지영</t>
  </si>
  <si>
    <t>강흥석</t>
  </si>
  <si>
    <t>이지영</t>
  </si>
  <si>
    <t>김미현</t>
  </si>
  <si>
    <t>안성윤</t>
  </si>
  <si>
    <t>하인화</t>
  </si>
  <si>
    <t>이름</t>
    <phoneticPr fontId="1" type="noConversion"/>
  </si>
  <si>
    <t>순번</t>
    <phoneticPr fontId="1" type="noConversion"/>
  </si>
  <si>
    <t>Product</t>
    <phoneticPr fontId="1" type="noConversion"/>
  </si>
  <si>
    <t>책임자</t>
    <phoneticPr fontId="1" type="noConversion"/>
  </si>
  <si>
    <t>판매지역</t>
    <phoneticPr fontId="1" type="noConversion"/>
  </si>
  <si>
    <t>출하시간</t>
    <phoneticPr fontId="1" type="noConversion"/>
  </si>
  <si>
    <t>판매량</t>
    <phoneticPr fontId="1" type="noConversion"/>
  </si>
  <si>
    <t>LED</t>
    <phoneticPr fontId="1" type="noConversion"/>
  </si>
  <si>
    <t>OLED</t>
    <phoneticPr fontId="1" type="noConversion"/>
  </si>
  <si>
    <t>C-OLED</t>
    <phoneticPr fontId="1" type="noConversion"/>
  </si>
  <si>
    <t>TELPHONE</t>
  </si>
  <si>
    <t>박상철</t>
    <phoneticPr fontId="1" type="noConversion"/>
  </si>
  <si>
    <t>강북</t>
    <phoneticPr fontId="1" type="noConversion"/>
  </si>
  <si>
    <t>한겨레</t>
    <phoneticPr fontId="1" type="noConversion"/>
  </si>
  <si>
    <t>노원</t>
    <phoneticPr fontId="1" type="noConversion"/>
  </si>
  <si>
    <t>번호</t>
    <phoneticPr fontId="1" type="noConversion"/>
  </si>
  <si>
    <t>이름</t>
    <phoneticPr fontId="1" type="noConversion"/>
  </si>
  <si>
    <t>예술점수</t>
    <phoneticPr fontId="1" type="noConversion"/>
  </si>
  <si>
    <t>기술점수</t>
    <phoneticPr fontId="1" type="noConversion"/>
  </si>
  <si>
    <t>표현점수</t>
    <phoneticPr fontId="1" type="noConversion"/>
  </si>
  <si>
    <t>윤수진</t>
    <phoneticPr fontId="1" type="noConversion"/>
  </si>
  <si>
    <t>이연순</t>
    <phoneticPr fontId="1" type="noConversion"/>
  </si>
  <si>
    <t>김하은</t>
    <phoneticPr fontId="1" type="noConversion"/>
  </si>
  <si>
    <t>이성주</t>
    <phoneticPr fontId="1" type="noConversion"/>
  </si>
  <si>
    <t>사번</t>
  </si>
  <si>
    <t>A1001</t>
  </si>
  <si>
    <t>성은희</t>
  </si>
  <si>
    <t>A1002</t>
  </si>
  <si>
    <t>이은주</t>
  </si>
  <si>
    <t>A1003</t>
  </si>
  <si>
    <t>박철진</t>
  </si>
  <si>
    <t>A1004</t>
  </si>
  <si>
    <t>채진욱</t>
  </si>
  <si>
    <t>A1005</t>
  </si>
  <si>
    <t>안병찬</t>
  </si>
  <si>
    <t>A1006</t>
  </si>
  <si>
    <t>이영호</t>
  </si>
  <si>
    <t>A1007</t>
  </si>
  <si>
    <t>이수영</t>
  </si>
  <si>
    <t>A1008</t>
  </si>
  <si>
    <t>박형주</t>
  </si>
  <si>
    <t>A1009</t>
  </si>
  <si>
    <t>김영철</t>
  </si>
  <si>
    <t>A1010</t>
  </si>
  <si>
    <t>정성기</t>
  </si>
  <si>
    <t>A1011</t>
  </si>
  <si>
    <t>도우리</t>
  </si>
  <si>
    <t>A1012</t>
  </si>
  <si>
    <t>최은실</t>
  </si>
  <si>
    <t>A1013</t>
  </si>
  <si>
    <t>성지희</t>
  </si>
  <si>
    <t>A1014</t>
  </si>
  <si>
    <t>송민희</t>
  </si>
  <si>
    <t>A1015</t>
  </si>
  <si>
    <t>백현</t>
  </si>
  <si>
    <t>송인영</t>
  </si>
  <si>
    <t>두병빈</t>
  </si>
  <si>
    <t>조태현</t>
  </si>
  <si>
    <t>황민희</t>
  </si>
  <si>
    <t>이우현</t>
  </si>
  <si>
    <t>서옥윤</t>
  </si>
  <si>
    <t>[표1]</t>
    <phoneticPr fontId="1" type="noConversion"/>
  </si>
  <si>
    <t>[표2]</t>
    <phoneticPr fontId="1" type="noConversion"/>
  </si>
  <si>
    <t>기준일 :</t>
    <phoneticPr fontId="1" type="noConversion"/>
  </si>
  <si>
    <t>번호</t>
    <phoneticPr fontId="1" type="noConversion"/>
  </si>
  <si>
    <t>이름</t>
    <phoneticPr fontId="1" type="noConversion"/>
  </si>
  <si>
    <t>결석</t>
    <phoneticPr fontId="1" type="noConversion"/>
  </si>
  <si>
    <t>3월성적</t>
    <phoneticPr fontId="1" type="noConversion"/>
  </si>
  <si>
    <t>4월성적</t>
  </si>
  <si>
    <t>5월성적</t>
  </si>
  <si>
    <t>6월성적</t>
  </si>
  <si>
    <t>이수여부</t>
    <phoneticPr fontId="1" type="noConversion"/>
  </si>
  <si>
    <t>번호</t>
    <phoneticPr fontId="1" type="noConversion"/>
  </si>
  <si>
    <t>입사일</t>
  </si>
  <si>
    <t>직급</t>
  </si>
  <si>
    <t>근무기간</t>
    <phoneticPr fontId="1" type="noConversion"/>
  </si>
  <si>
    <t>사원</t>
  </si>
  <si>
    <t>과장</t>
  </si>
  <si>
    <t>윤수진</t>
    <phoneticPr fontId="1" type="noConversion"/>
  </si>
  <si>
    <t>이연순</t>
    <phoneticPr fontId="1" type="noConversion"/>
  </si>
  <si>
    <t>김하은</t>
    <phoneticPr fontId="1" type="noConversion"/>
  </si>
  <si>
    <t>이성주</t>
    <phoneticPr fontId="1" type="noConversion"/>
  </si>
  <si>
    <t>대리</t>
  </si>
  <si>
    <t>&lt;이 풀이도 가능&gt;</t>
    <phoneticPr fontId="1" type="noConversion"/>
  </si>
  <si>
    <t>[표3]</t>
    <phoneticPr fontId="1" type="noConversion"/>
  </si>
  <si>
    <t>[표4]</t>
    <phoneticPr fontId="1" type="noConversion"/>
  </si>
  <si>
    <t>점수</t>
    <phoneticPr fontId="1" type="noConversion"/>
  </si>
  <si>
    <t>상위 4개 항목의 평균</t>
    <phoneticPr fontId="1" type="noConversion"/>
  </si>
  <si>
    <t>번호</t>
    <phoneticPr fontId="1" type="noConversion"/>
  </si>
  <si>
    <t>이름</t>
    <phoneticPr fontId="1" type="noConversion"/>
  </si>
  <si>
    <t>성별</t>
    <phoneticPr fontId="2" type="noConversion"/>
  </si>
  <si>
    <t>판매일자</t>
    <phoneticPr fontId="2" type="noConversion"/>
  </si>
  <si>
    <t>판매량</t>
    <phoneticPr fontId="2" type="noConversion"/>
  </si>
  <si>
    <t>Other</t>
  </si>
  <si>
    <t>Men</t>
  </si>
  <si>
    <t>WoMen</t>
  </si>
  <si>
    <t>윤수진</t>
    <phoneticPr fontId="1" type="noConversion"/>
  </si>
  <si>
    <t>이연순</t>
    <phoneticPr fontId="1" type="noConversion"/>
  </si>
  <si>
    <t>김하은</t>
    <phoneticPr fontId="1" type="noConversion"/>
  </si>
  <si>
    <t>이성주</t>
    <phoneticPr fontId="1" type="noConversion"/>
  </si>
  <si>
    <t>Men이면서 판매량 백분위가 50%이상인 자료의 수</t>
    <phoneticPr fontId="1" type="noConversion"/>
  </si>
  <si>
    <t>조건</t>
    <phoneticPr fontId="1" type="noConversion"/>
  </si>
  <si>
    <t>[표5]</t>
    <phoneticPr fontId="1" type="noConversion"/>
  </si>
  <si>
    <t>번호</t>
    <phoneticPr fontId="1" type="noConversion"/>
  </si>
  <si>
    <t>주차장</t>
    <phoneticPr fontId="1" type="noConversion"/>
  </si>
  <si>
    <t>네티즌평점</t>
    <phoneticPr fontId="1" type="noConversion"/>
  </si>
  <si>
    <t>전문가평점</t>
    <phoneticPr fontId="1" type="noConversion"/>
  </si>
  <si>
    <t>면적</t>
    <phoneticPr fontId="1" type="noConversion"/>
  </si>
  <si>
    <t>평당환산</t>
    <phoneticPr fontId="1" type="noConversion"/>
  </si>
  <si>
    <t>o</t>
    <phoneticPr fontId="1" type="noConversion"/>
  </si>
  <si>
    <t>[표6]</t>
    <phoneticPr fontId="1" type="noConversion"/>
  </si>
  <si>
    <t>[표6-1]</t>
    <phoneticPr fontId="1" type="noConversion"/>
  </si>
  <si>
    <t>[표7]</t>
    <phoneticPr fontId="1" type="noConversion"/>
  </si>
  <si>
    <t>[표7-1]</t>
    <phoneticPr fontId="1" type="noConversion"/>
  </si>
  <si>
    <t>순번</t>
    <phoneticPr fontId="1" type="noConversion"/>
  </si>
  <si>
    <t>지역</t>
    <phoneticPr fontId="2" type="noConversion"/>
  </si>
  <si>
    <t>호수</t>
    <phoneticPr fontId="2" type="noConversion"/>
  </si>
  <si>
    <t xml:space="preserve">수용인원 </t>
    <phoneticPr fontId="2" type="noConversion"/>
  </si>
  <si>
    <t>임대료</t>
    <phoneticPr fontId="2" type="noConversion"/>
  </si>
  <si>
    <t>전기사용(KW)</t>
    <phoneticPr fontId="2" type="noConversion"/>
  </si>
  <si>
    <t>금액</t>
    <phoneticPr fontId="1" type="noConversion"/>
  </si>
  <si>
    <t>지역</t>
    <phoneticPr fontId="1" type="noConversion"/>
  </si>
  <si>
    <t>구분코드</t>
    <phoneticPr fontId="1" type="noConversion"/>
  </si>
  <si>
    <t>국가</t>
    <phoneticPr fontId="1" type="noConversion"/>
  </si>
  <si>
    <t>출전시간</t>
    <phoneticPr fontId="1" type="noConversion"/>
  </si>
  <si>
    <t>점수</t>
    <phoneticPr fontId="1" type="noConversion"/>
  </si>
  <si>
    <t>SHORT</t>
    <phoneticPr fontId="1" type="noConversion"/>
  </si>
  <si>
    <t>FREE</t>
    <phoneticPr fontId="1" type="noConversion"/>
  </si>
  <si>
    <t>목련동</t>
    <phoneticPr fontId="2" type="noConversion"/>
  </si>
  <si>
    <t>목련동</t>
    <phoneticPr fontId="2" type="noConversion"/>
  </si>
  <si>
    <t>목련동</t>
    <phoneticPr fontId="1" type="noConversion"/>
  </si>
  <si>
    <t>101S</t>
    <phoneticPr fontId="1" type="noConversion"/>
  </si>
  <si>
    <t>한국</t>
    <phoneticPr fontId="1" type="noConversion"/>
  </si>
  <si>
    <t>남</t>
    <phoneticPr fontId="1" type="noConversion"/>
  </si>
  <si>
    <t>개포동</t>
    <phoneticPr fontId="1" type="noConversion"/>
  </si>
  <si>
    <t>102S</t>
  </si>
  <si>
    <t>일본</t>
    <phoneticPr fontId="1" type="noConversion"/>
  </si>
  <si>
    <t>여</t>
    <phoneticPr fontId="1" type="noConversion"/>
  </si>
  <si>
    <t>역삼동</t>
    <phoneticPr fontId="1" type="noConversion"/>
  </si>
  <si>
    <t>103S</t>
  </si>
  <si>
    <t>중국</t>
    <phoneticPr fontId="1" type="noConversion"/>
  </si>
  <si>
    <t>104S</t>
  </si>
  <si>
    <t>105S</t>
  </si>
  <si>
    <t>106S</t>
  </si>
  <si>
    <t>미국</t>
    <phoneticPr fontId="1" type="noConversion"/>
  </si>
  <si>
    <t>107S</t>
  </si>
  <si>
    <t>108S</t>
  </si>
  <si>
    <t>개포동</t>
    <phoneticPr fontId="2" type="noConversion"/>
  </si>
  <si>
    <t>101F</t>
    <phoneticPr fontId="1" type="noConversion"/>
  </si>
  <si>
    <t>102F</t>
  </si>
  <si>
    <t>103F</t>
  </si>
  <si>
    <t>104F</t>
  </si>
  <si>
    <t>105F</t>
  </si>
  <si>
    <t>106F</t>
  </si>
  <si>
    <t>107F</t>
  </si>
  <si>
    <t>108F</t>
  </si>
  <si>
    <t>109F</t>
  </si>
  <si>
    <t>역삼동</t>
    <phoneticPr fontId="2" type="noConversion"/>
  </si>
  <si>
    <t>110F</t>
  </si>
  <si>
    <t>&lt;이풀이도 가능&gt;</t>
    <phoneticPr fontId="1" type="noConversion"/>
  </si>
  <si>
    <t>&lt;만약 if가 있는 유형이었다면&gt;</t>
    <phoneticPr fontId="1" type="noConversion"/>
  </si>
  <si>
    <t>&lt;if가 없었다면&gt;</t>
    <phoneticPr fontId="1" type="noConversion"/>
  </si>
  <si>
    <t>&lt;sum 대신 count라면&gt;</t>
    <phoneticPr fontId="1" type="noConversion"/>
  </si>
  <si>
    <t>[표8]</t>
    <phoneticPr fontId="1" type="noConversion"/>
  </si>
  <si>
    <t>구분기호</t>
    <phoneticPr fontId="1" type="noConversion"/>
  </si>
  <si>
    <t>영화명</t>
    <phoneticPr fontId="1" type="noConversion"/>
  </si>
  <si>
    <t>등급</t>
    <phoneticPr fontId="1" type="noConversion"/>
  </si>
  <si>
    <t>네티즌 평점</t>
    <phoneticPr fontId="1" type="noConversion"/>
  </si>
  <si>
    <t>A-101</t>
    <phoneticPr fontId="1" type="noConversion"/>
  </si>
  <si>
    <t>달나라 여행</t>
    <phoneticPr fontId="1" type="noConversion"/>
  </si>
  <si>
    <t>전체</t>
    <phoneticPr fontId="1" type="noConversion"/>
  </si>
  <si>
    <t>A-102</t>
  </si>
  <si>
    <t>남극열차</t>
    <phoneticPr fontId="1" type="noConversion"/>
  </si>
  <si>
    <t>12세</t>
    <phoneticPr fontId="1" type="noConversion"/>
  </si>
  <si>
    <t>A-103</t>
  </si>
  <si>
    <t>변호사</t>
    <phoneticPr fontId="1" type="noConversion"/>
  </si>
  <si>
    <t>A-104</t>
  </si>
  <si>
    <t>태양</t>
    <phoneticPr fontId="1" type="noConversion"/>
  </si>
  <si>
    <t>15세</t>
    <phoneticPr fontId="1" type="noConversion"/>
  </si>
  <si>
    <t>A-105</t>
  </si>
  <si>
    <t>아이언보이</t>
    <phoneticPr fontId="1" type="noConversion"/>
  </si>
  <si>
    <t>A-106</t>
  </si>
  <si>
    <t>반지의 제국</t>
    <phoneticPr fontId="1" type="noConversion"/>
  </si>
  <si>
    <t>A-107</t>
  </si>
  <si>
    <t>명탐정 코미</t>
    <phoneticPr fontId="1" type="noConversion"/>
  </si>
  <si>
    <t>A-108</t>
  </si>
  <si>
    <t>목소리의 모습</t>
    <phoneticPr fontId="1" type="noConversion"/>
  </si>
  <si>
    <t>A-109</t>
  </si>
  <si>
    <t>증거인</t>
    <phoneticPr fontId="1" type="noConversion"/>
  </si>
  <si>
    <t>A-110</t>
  </si>
  <si>
    <t>극한임무</t>
    <phoneticPr fontId="1" type="noConversion"/>
  </si>
  <si>
    <t>최고 네티즌 평점 항목</t>
    <phoneticPr fontId="1" type="noConversion"/>
  </si>
  <si>
    <t>등급이 15세에 해당하는 자료중에 최대값을 가진 영화명</t>
    <phoneticPr fontId="1" type="noConversion"/>
  </si>
  <si>
    <t>LARGE를 이용할 경우</t>
    <phoneticPr fontId="1" type="noConversion"/>
  </si>
  <si>
    <t>게임명</t>
  </si>
  <si>
    <t>대상</t>
  </si>
  <si>
    <t>당구</t>
  </si>
  <si>
    <t>18세</t>
  </si>
  <si>
    <t>반지의 왕자</t>
  </si>
  <si>
    <t>10세</t>
  </si>
  <si>
    <t>레인보우</t>
  </si>
  <si>
    <t>삼국장군</t>
  </si>
  <si>
    <t>값</t>
  </si>
  <si>
    <t>[표1] 지역별 성적표</t>
    <phoneticPr fontId="1" type="noConversion"/>
  </si>
  <si>
    <t>번호</t>
    <phoneticPr fontId="1" type="noConversion"/>
  </si>
  <si>
    <t>성명</t>
    <phoneticPr fontId="2" type="noConversion"/>
  </si>
  <si>
    <t>응시코드</t>
    <phoneticPr fontId="2" type="noConversion"/>
  </si>
  <si>
    <t>지점명</t>
    <phoneticPr fontId="2" type="noConversion"/>
  </si>
  <si>
    <t>국어</t>
    <phoneticPr fontId="2" type="noConversion"/>
  </si>
  <si>
    <t>영어</t>
    <phoneticPr fontId="13" type="noConversion"/>
  </si>
  <si>
    <t>수학</t>
    <phoneticPr fontId="13" type="noConversion"/>
  </si>
  <si>
    <t>김선영</t>
  </si>
  <si>
    <t>YY006</t>
  </si>
  <si>
    <t>영남</t>
    <phoneticPr fontId="2" type="noConversion"/>
  </si>
  <si>
    <t>선주영</t>
  </si>
  <si>
    <t>YY005</t>
  </si>
  <si>
    <t>호남</t>
    <phoneticPr fontId="2" type="noConversion"/>
  </si>
  <si>
    <t>은진희</t>
  </si>
  <si>
    <t>YY004</t>
  </si>
  <si>
    <t>영남</t>
    <phoneticPr fontId="2" type="noConversion"/>
  </si>
  <si>
    <t>김재희</t>
  </si>
  <si>
    <t>YY003</t>
  </si>
  <si>
    <t>충청</t>
    <phoneticPr fontId="2" type="noConversion"/>
  </si>
  <si>
    <t>정래은</t>
  </si>
  <si>
    <t>YY002</t>
  </si>
  <si>
    <t>서울</t>
    <phoneticPr fontId="2" type="noConversion"/>
  </si>
  <si>
    <t>우현석</t>
  </si>
  <si>
    <t>YY001</t>
  </si>
  <si>
    <t>강원</t>
    <phoneticPr fontId="2" type="noConversion"/>
  </si>
  <si>
    <t>명계철</t>
  </si>
  <si>
    <t>AD010</t>
  </si>
  <si>
    <t>김주억</t>
  </si>
  <si>
    <t>AD009</t>
  </si>
  <si>
    <t>사공철</t>
  </si>
  <si>
    <t>AD008</t>
  </si>
  <si>
    <t>호남</t>
    <phoneticPr fontId="2" type="noConversion"/>
  </si>
  <si>
    <t>송광철</t>
  </si>
  <si>
    <t>AD007</t>
  </si>
  <si>
    <t>박창주</t>
  </si>
  <si>
    <t>AD006</t>
  </si>
  <si>
    <t>국덕근</t>
  </si>
  <si>
    <t>AD005</t>
  </si>
  <si>
    <t>나연희</t>
  </si>
  <si>
    <t>AD004</t>
  </si>
  <si>
    <t>이주현</t>
  </si>
  <si>
    <t>AD003</t>
  </si>
  <si>
    <t>정태훈</t>
  </si>
  <si>
    <t>AD002</t>
  </si>
  <si>
    <t>이소식</t>
  </si>
  <si>
    <t>AD001</t>
  </si>
  <si>
    <t>김구열</t>
  </si>
  <si>
    <t>MS110</t>
  </si>
  <si>
    <t>최민준</t>
  </si>
  <si>
    <t>MS109</t>
  </si>
  <si>
    <t>이기식</t>
  </si>
  <si>
    <t>MS108</t>
  </si>
  <si>
    <t>한부희</t>
  </si>
  <si>
    <t>MS107</t>
  </si>
  <si>
    <t>오철호</t>
  </si>
  <si>
    <t>MS106</t>
  </si>
  <si>
    <t>장길수</t>
  </si>
  <si>
    <t>MS105</t>
  </si>
  <si>
    <t>최지현</t>
  </si>
  <si>
    <t>MS104</t>
  </si>
  <si>
    <t>민순례</t>
  </si>
  <si>
    <t>MS103</t>
  </si>
  <si>
    <t>유아영</t>
  </si>
  <si>
    <t>MS102</t>
  </si>
  <si>
    <t>김철민</t>
  </si>
  <si>
    <t>MS101</t>
    <phoneticPr fontId="1" type="noConversion"/>
  </si>
  <si>
    <t>[표1]</t>
    <phoneticPr fontId="1" type="noConversion"/>
  </si>
  <si>
    <t>득표수</t>
    <phoneticPr fontId="1" type="noConversion"/>
  </si>
  <si>
    <t>[차트1]</t>
    <phoneticPr fontId="1" type="noConversion"/>
  </si>
  <si>
    <t>[차트2]</t>
    <phoneticPr fontId="1" type="noConversion"/>
  </si>
  <si>
    <t>상공 레스토랑</t>
    <phoneticPr fontId="1" type="noConversion"/>
  </si>
  <si>
    <t>[표1] 일일 판매 내역</t>
    <phoneticPr fontId="1" type="noConversion"/>
  </si>
  <si>
    <t>상품가격표</t>
    <phoneticPr fontId="1" type="noConversion"/>
  </si>
  <si>
    <t>판매음식</t>
    <phoneticPr fontId="1" type="noConversion"/>
  </si>
  <si>
    <t>가격</t>
    <phoneticPr fontId="1" type="noConversion"/>
  </si>
  <si>
    <t>수량</t>
    <phoneticPr fontId="1" type="noConversion"/>
  </si>
  <si>
    <t>음료수</t>
    <phoneticPr fontId="1" type="noConversion"/>
  </si>
  <si>
    <t>총 금액</t>
    <phoneticPr fontId="1" type="noConversion"/>
  </si>
  <si>
    <t>음식명</t>
    <phoneticPr fontId="1" type="noConversion"/>
  </si>
  <si>
    <t>가격</t>
    <phoneticPr fontId="1" type="noConversion"/>
  </si>
  <si>
    <t>돈까스</t>
    <phoneticPr fontId="1" type="noConversion"/>
  </si>
  <si>
    <t>새우볶음밥</t>
    <phoneticPr fontId="1" type="noConversion"/>
  </si>
  <si>
    <t>오므라이스</t>
    <phoneticPr fontId="1" type="noConversion"/>
  </si>
  <si>
    <t>수고하셨습니다.</t>
  </si>
  <si>
    <t>합계: 매출액</t>
  </si>
  <si>
    <t>전체 합계: 매출액</t>
  </si>
  <si>
    <t>전체 합계: 이익금</t>
  </si>
  <si>
    <t>합계: 이익금</t>
  </si>
  <si>
    <t>*OLED</t>
    <phoneticPr fontId="1" type="noConversion"/>
  </si>
  <si>
    <t>조건1</t>
    <phoneticPr fontId="1" type="noConversion"/>
  </si>
  <si>
    <t>조건2</t>
  </si>
  <si>
    <t>조건</t>
    <phoneticPr fontId="1" type="noConversion"/>
  </si>
  <si>
    <t>판매량</t>
    <phoneticPr fontId="1" type="noConversion"/>
  </si>
  <si>
    <t>판매지역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</si>
</sst>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[$-412]AM/PM\ h:mm;@"/>
    <numFmt numFmtId="177" formatCode="#&quot;점&quot;"/>
    <numFmt numFmtId="178" formatCode="0_ 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rgb="FF222222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3"/>
      <charset val="129"/>
      <scheme val="minor"/>
    </font>
    <font>
      <b/>
      <i/>
      <sz val="14"/>
      <color theme="1"/>
      <name val="궁서"/>
      <family val="1"/>
      <charset val="129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theme="0" tint="-4.9989318521683403E-2"/>
        <bgColor indexed="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7" fillId="0" borderId="0"/>
    <xf numFmtId="41" fontId="4" fillId="0" borderId="0" applyFont="0" applyFill="0" applyBorder="0" applyAlignment="0" applyProtection="0">
      <alignment vertical="center"/>
    </xf>
    <xf numFmtId="0" fontId="7" fillId="0" borderId="0"/>
    <xf numFmtId="0" fontId="7" fillId="0" borderId="0"/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8" fillId="0" borderId="1" xfId="3" applyFont="1" applyFill="1" applyBorder="1" applyAlignment="1">
      <alignment horizontal="center" wrapText="1"/>
    </xf>
    <xf numFmtId="0" fontId="3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41" fontId="0" fillId="0" borderId="1" xfId="4" applyFont="1" applyBorder="1">
      <alignment vertical="center"/>
    </xf>
    <xf numFmtId="41" fontId="5" fillId="0" borderId="1" xfId="4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76" fontId="0" fillId="0" borderId="1" xfId="0" applyNumberFormat="1" applyFont="1" applyBorder="1">
      <alignment vertical="center"/>
    </xf>
    <xf numFmtId="41" fontId="0" fillId="0" borderId="1" xfId="4" applyFont="1" applyBorder="1" applyAlignment="1"/>
    <xf numFmtId="0" fontId="10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9" fillId="4" borderId="1" xfId="6" applyFont="1" applyFill="1" applyBorder="1" applyAlignment="1">
      <alignment horizontal="center"/>
    </xf>
    <xf numFmtId="0" fontId="9" fillId="5" borderId="1" xfId="6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9" fillId="0" borderId="1" xfId="6" applyFont="1" applyFill="1" applyBorder="1" applyAlignment="1">
      <alignment horizontal="center" wrapText="1"/>
    </xf>
    <xf numFmtId="55" fontId="9" fillId="0" borderId="1" xfId="6" applyNumberFormat="1" applyFont="1" applyFill="1" applyBorder="1" applyAlignment="1">
      <alignment horizontal="center" wrapText="1"/>
    </xf>
    <xf numFmtId="0" fontId="0" fillId="0" borderId="3" xfId="0" applyFill="1" applyBorder="1" applyAlignment="1">
      <alignment horizontal="left" vertical="center"/>
    </xf>
    <xf numFmtId="0" fontId="8" fillId="0" borderId="1" xfId="5" applyFont="1" applyFill="1" applyBorder="1" applyAlignment="1">
      <alignment horizontal="center"/>
    </xf>
    <xf numFmtId="0" fontId="8" fillId="0" borderId="1" xfId="5" applyFont="1" applyFill="1" applyBorder="1" applyAlignment="1">
      <alignment wrapText="1"/>
    </xf>
    <xf numFmtId="0" fontId="8" fillId="0" borderId="1" xfId="5" applyFont="1" applyFill="1" applyBorder="1" applyAlignment="1">
      <alignment horizontal="right" wrapText="1"/>
    </xf>
    <xf numFmtId="0" fontId="0" fillId="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4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0" xfId="3" applyFont="1" applyFill="1" applyBorder="1" applyAlignment="1">
      <alignment horizontal="center" wrapText="1"/>
    </xf>
    <xf numFmtId="0" fontId="0" fillId="2" borderId="1" xfId="0" applyFill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/>
    </xf>
    <xf numFmtId="41" fontId="5" fillId="0" borderId="1" xfId="4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0" fillId="0" borderId="0" xfId="0" pivotButton="1">
      <alignment vertical="center"/>
    </xf>
    <xf numFmtId="0" fontId="12" fillId="0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0" fontId="14" fillId="0" borderId="0" xfId="0" applyFont="1">
      <alignment vertical="center"/>
    </xf>
    <xf numFmtId="42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41" fontId="3" fillId="0" borderId="0" xfId="0" applyNumberFormat="1" applyFont="1">
      <alignment vertical="center"/>
    </xf>
    <xf numFmtId="0" fontId="8" fillId="2" borderId="2" xfId="5" applyFont="1" applyFill="1" applyBorder="1" applyAlignment="1">
      <alignment horizontal="center"/>
    </xf>
    <xf numFmtId="0" fontId="8" fillId="2" borderId="4" xfId="5" applyFont="1" applyFill="1" applyBorder="1" applyAlignment="1">
      <alignment horizontal="center"/>
    </xf>
    <xf numFmtId="0" fontId="8" fillId="2" borderId="5" xfId="5" applyFont="1" applyFill="1" applyBorder="1" applyAlignment="1">
      <alignment horizontal="center"/>
    </xf>
    <xf numFmtId="177" fontId="0" fillId="0" borderId="2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</cellXfs>
  <cellStyles count="7">
    <cellStyle name="백분율 2" xfId="2"/>
    <cellStyle name="쉼표 [0]" xfId="4" builtinId="6"/>
    <cellStyle name="표준" xfId="0" builtinId="0"/>
    <cellStyle name="표준 2" xfId="1"/>
    <cellStyle name="표준_Sheet1" xfId="5"/>
    <cellStyle name="표준_계산작업_1" xfId="6"/>
    <cellStyle name="표준_해외연수-2" xfId="3"/>
  </cellStyles>
  <dxfs count="6"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ko-KR" sz="1800" b="1" i="0" baseline="0">
                <a:effectLst/>
              </a:rPr>
              <a:t>반장 선거 득표</a:t>
            </a:r>
            <a:endParaRPr lang="ko-KR" altLang="ko-KR">
              <a:effectLst/>
            </a:endParaRPr>
          </a:p>
        </c:rich>
      </c:tx>
      <c:overlay val="0"/>
    </c:title>
    <c:autoTitleDeleted val="0"/>
    <c:plotArea>
      <c:layout/>
      <c:ofPieChart>
        <c:ofPieType val="pie"/>
        <c:varyColors val="1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득표수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'기타작업-1'!$C$3:$C$9</c:f>
              <c:strCache>
                <c:ptCount val="7"/>
                <c:pt idx="0">
                  <c:v>홍길동</c:v>
                </c:pt>
                <c:pt idx="1">
                  <c:v>이도현</c:v>
                </c:pt>
                <c:pt idx="2">
                  <c:v>한미우</c:v>
                </c:pt>
                <c:pt idx="3">
                  <c:v>박정진</c:v>
                </c:pt>
                <c:pt idx="4">
                  <c:v>윤수진</c:v>
                </c:pt>
                <c:pt idx="5">
                  <c:v>이연순</c:v>
                </c:pt>
                <c:pt idx="6">
                  <c:v>최재석</c:v>
                </c:pt>
              </c:strCache>
            </c:strRef>
          </c:cat>
          <c:val>
            <c:numRef>
              <c:f>'기타작업-1'!$D$3:$D$9</c:f>
              <c:numCache>
                <c:formatCode>General</c:formatCode>
                <c:ptCount val="7"/>
                <c:pt idx="0">
                  <c:v>13</c:v>
                </c:pt>
                <c:pt idx="1">
                  <c:v>7</c:v>
                </c:pt>
                <c:pt idx="2">
                  <c:v>4</c:v>
                </c:pt>
                <c:pt idx="3">
                  <c:v>10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8C-4874-A86D-DE39714D7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3"/>
        <c:secondPieSize val="40"/>
        <c:serLines/>
      </c:ofPieChart>
    </c:plotArea>
    <c:legend>
      <c:legendPos val="r"/>
      <c:overlay val="0"/>
      <c:spPr>
        <a:gradFill rotWithShape="1">
          <a:gsLst>
            <a:gs pos="0">
              <a:schemeClr val="dk1">
                <a:tint val="50000"/>
                <a:satMod val="300000"/>
              </a:schemeClr>
            </a:gs>
            <a:gs pos="35000">
              <a:schemeClr val="dk1">
                <a:tint val="37000"/>
                <a:satMod val="300000"/>
              </a:schemeClr>
            </a:gs>
            <a:gs pos="100000">
              <a:schemeClr val="dk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반장 선거 득표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득표수</c:v>
                </c:pt>
              </c:strCache>
            </c:strRef>
          </c:tx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7B-4B7F-A990-C726F60AF3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7B-4B7F-A990-C726F60AF3B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7B-4B7F-A990-C726F60AF3B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7B-4B7F-A990-C726F60AF3B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7B-4B7F-A990-C726F60AF3B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B-4B7F-A990-C726F60AF3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'기타작업-1'!$C$3:$C$9</c:f>
              <c:strCache>
                <c:ptCount val="7"/>
                <c:pt idx="0">
                  <c:v>홍길동</c:v>
                </c:pt>
                <c:pt idx="1">
                  <c:v>이도현</c:v>
                </c:pt>
                <c:pt idx="2">
                  <c:v>한미우</c:v>
                </c:pt>
                <c:pt idx="3">
                  <c:v>박정진</c:v>
                </c:pt>
                <c:pt idx="4">
                  <c:v>윤수진</c:v>
                </c:pt>
                <c:pt idx="5">
                  <c:v>이연순</c:v>
                </c:pt>
                <c:pt idx="6">
                  <c:v>최재석</c:v>
                </c:pt>
              </c:strCache>
            </c:strRef>
          </c:cat>
          <c:val>
            <c:numRef>
              <c:f>'기타작업-1'!$D$3:$D$9</c:f>
              <c:numCache>
                <c:formatCode>General</c:formatCode>
                <c:ptCount val="7"/>
                <c:pt idx="0">
                  <c:v>13</c:v>
                </c:pt>
                <c:pt idx="1">
                  <c:v>7</c:v>
                </c:pt>
                <c:pt idx="2">
                  <c:v>4</c:v>
                </c:pt>
                <c:pt idx="3">
                  <c:v>10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7B-4B7F-A990-C726F60AF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811904"/>
        <c:axId val="200354624"/>
      </c:barChart>
      <c:catAx>
        <c:axId val="202811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0354624"/>
        <c:crosses val="autoZero"/>
        <c:auto val="1"/>
        <c:lblAlgn val="ctr"/>
        <c:lblOffset val="100"/>
        <c:noMultiLvlLbl val="0"/>
      </c:catAx>
      <c:valAx>
        <c:axId val="200354624"/>
        <c:scaling>
          <c:orientation val="minMax"/>
          <c:max val="13"/>
          <c:min val="1"/>
        </c:scaling>
        <c:delete val="0"/>
        <c:axPos val="l"/>
        <c:majorGridlines/>
        <c:title>
          <c:tx>
            <c:strRef>
              <c:f>'기타작업-1'!$D$2</c:f>
              <c:strCache>
                <c:ptCount val="1"/>
                <c:pt idx="0">
                  <c:v>득표수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crossAx val="202811904"/>
        <c:crosses val="autoZero"/>
        <c:crossBetween val="between"/>
        <c:majorUnit val="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14</xdr:col>
      <xdr:colOff>0</xdr:colOff>
      <xdr:row>17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14</xdr:col>
      <xdr:colOff>0</xdr:colOff>
      <xdr:row>40</xdr:row>
      <xdr:rowOff>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서식설정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[0]!서식해제" textlink="">
      <xdr:nvSpPr>
        <xdr:cNvPr id="3" name="직사각형 2"/>
        <xdr:cNvSpPr/>
      </xdr:nvSpPr>
      <xdr:spPr>
        <a:xfrm>
          <a:off x="5067300" y="1257300"/>
          <a:ext cx="13716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19050</xdr:rowOff>
        </xdr:from>
        <xdr:to>
          <xdr:col>9</xdr:col>
          <xdr:colOff>333375</xdr:colOff>
          <xdr:row>11</xdr:row>
          <xdr:rowOff>180975</xdr:rowOff>
        </xdr:to>
        <xdr:sp macro="" textlink="">
          <xdr:nvSpPr>
            <xdr:cNvPr id="3075" name="Cmd추가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47784;&#51032;&#44256;&#49324;10%20&#50641;&#49472;%20&#49892;&#49845;&#54028;&#5106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계산작업"/>
      <sheetName val="계산작업2"/>
      <sheetName val="분석작업-1"/>
      <sheetName val="분석작업-2"/>
      <sheetName val="기타작업-1"/>
      <sheetName val="기타작업-2"/>
      <sheetName val="기타작업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icam" refreshedDate="44158.749619560185" backgroundQuery="1" createdVersion="6" refreshedVersion="6" minRefreshableVersion="3" recordCount="0" supportSubquery="1" supportAdvancedDrill="1">
  <cacheSource type="external" connectionId="1"/>
  <cacheFields count="4">
    <cacheField name="[관리자료].[대상].[대상]" caption="대상" numFmtId="0" hierarchy="1" level="1">
      <sharedItems count="2">
        <s v="10세"/>
        <s v="18세"/>
      </sharedItems>
    </cacheField>
    <cacheField name="[관리자료].[게임명].[게임명]" caption="게임명" numFmtId="0" level="1">
      <sharedItems count="4">
        <s v="당구"/>
        <s v="레인보우"/>
        <s v="반지의 왕자"/>
        <s v="삼국장군"/>
      </sharedItems>
    </cacheField>
    <cacheField name="[Measures].[합계: 매출액]" caption="합계: 매출액" numFmtId="0" hierarchy="8" level="32767"/>
    <cacheField name="[Measures].[합계: 이익금]" caption="합계: 이익금" numFmtId="0" hierarchy="9" level="32767"/>
  </cacheFields>
  <cacheHierarchies count="10">
    <cacheHierarchy uniqueName="[관리자료].[게임명]" caption="게임명" attribute="1" defaultMemberUniqueName="[관리자료].[게임명].[All]" allUniqueName="[관리자료].[게임명].[All]" dimensionUniqueName="[관리자료]" displayFolder="" count="2" memberValueDatatype="130" unbalanced="0">
      <fieldsUsage count="2">
        <fieldUsage x="-1"/>
        <fieldUsage x="1"/>
      </fieldsUsage>
    </cacheHierarchy>
    <cacheHierarchy uniqueName="[관리자료].[대상]" caption="대상" attribute="1" defaultMemberUniqueName="[관리자료].[대상].[All]" allUniqueName="[관리자료].[대상].[All]" dimensionUniqueName="[관리자료]" displayFolder="" count="2" memberValueDatatype="130" unbalanced="0">
      <fieldsUsage count="2">
        <fieldUsage x="-1"/>
        <fieldUsage x="0"/>
      </fieldsUsage>
    </cacheHierarchy>
    <cacheHierarchy uniqueName="[관리자료].[판매일자]" caption="판매일자" attribute="1" time="1" defaultMemberUniqueName="[관리자료].[판매일자].[All]" allUniqueName="[관리자료].[판매일자].[All]" dimensionUniqueName="[관리자료]" displayFolder="" count="0" memberValueDatatype="7" unbalanced="0"/>
    <cacheHierarchy uniqueName="[관리자료].[수량]" caption="수량" attribute="1" defaultMemberUniqueName="[관리자료].[수량].[All]" allUniqueName="[관리자료].[수량].[All]" dimensionUniqueName="[관리자료]" displayFolder="" count="0" memberValueDatatype="20" unbalanced="0"/>
    <cacheHierarchy uniqueName="[관리자료].[매출액]" caption="매출액" attribute="1" defaultMemberUniqueName="[관리자료].[매출액].[All]" allUniqueName="[관리자료].[매출액].[All]" dimensionUniqueName="[관리자료]" displayFolder="" count="0" memberValueDatatype="20" unbalanced="0"/>
    <cacheHierarchy uniqueName="[관리자료].[이익금]" caption="이익금" attribute="1" defaultMemberUniqueName="[관리자료].[이익금].[All]" allUniqueName="[관리자료].[이익금].[All]" dimensionUniqueName="[관리자료]" displayFolder="" count="0" memberValueDatatype="20" unbalanced="0"/>
    <cacheHierarchy uniqueName="[Measures].[__XL_Count 관리자료]" caption="__XL_Count 관리자료" measure="1" displayFolder="" measureGroup="관리자료" count="0" hidden="1"/>
    <cacheHierarchy uniqueName="[Measures].[__No measures defined]" caption="__No measures defined" measure="1" displayFolder="" count="0" hidden="1"/>
    <cacheHierarchy uniqueName="[Measures].[합계: 매출액]" caption="합계: 매출액" measure="1" displayFolder="" measureGroup="관리자료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이익금]" caption="합계: 이익금" measure="1" displayFolder="" measureGroup="관리자료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관리자료" uniqueName="[관리자료]" caption="관리자료"/>
  </dimensions>
  <measureGroups count="1">
    <measureGroup name="관리자료" caption="관리자료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dataOnRows="1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compactData="0" multipleFieldFilters="0">
  <location ref="B4:G11" firstHeaderRow="1" firstDataRow="2" firstDataCol="2"/>
  <pivotFields count="4">
    <pivotField axis="axisRow" compact="0" allDrilled="1" outline="0" showAll="0" dataSourceSort="1" defaultAttributeDrillState="1">
      <items count="3">
        <item x="0"/>
        <item x="1"/>
        <item t="default"/>
      </items>
    </pivotField>
    <pivotField axis="axisCol" compact="0" allDrilled="1" outline="0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compact="0" outline="0" showAll="0"/>
    <pivotField dataField="1" compact="0" outline="0" showAll="0"/>
  </pivotFields>
  <rowFields count="2">
    <field x="0"/>
    <field x="-2"/>
  </rowFields>
  <rowItems count="6">
    <i>
      <x/>
      <x/>
    </i>
    <i r="1" i="1">
      <x v="1"/>
    </i>
    <i>
      <x v="1"/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합계: 매출액" fld="2" baseField="0" baseItem="1" numFmtId="42"/>
    <dataField name="합계: 이익금" fld="3" baseField="0" baseItem="1" numFmtId="42"/>
  </dataFields>
  <pivotHierarchies count="10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-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관리자료">
        <x15:activeTabTopLevelEntity name="[관리자료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40"/>
  <sheetViews>
    <sheetView tabSelected="1" workbookViewId="0">
      <selection activeCell="I8" sqref="I8"/>
    </sheetView>
  </sheetViews>
  <sheetFormatPr defaultRowHeight="16.5"/>
  <cols>
    <col min="1" max="1" width="3.875" style="3" customWidth="1"/>
    <col min="2" max="2" width="9.75" style="3" customWidth="1"/>
    <col min="3" max="3" width="11.75" style="3" customWidth="1"/>
    <col min="4" max="4" width="9" style="3"/>
    <col min="5" max="5" width="13.625" style="3" customWidth="1"/>
    <col min="6" max="6" width="12.625" style="3" customWidth="1"/>
    <col min="7" max="7" width="15.375" style="3" customWidth="1"/>
    <col min="8" max="8" width="12.125" style="3" customWidth="1"/>
    <col min="9" max="16384" width="9" style="3"/>
  </cols>
  <sheetData>
    <row r="1" spans="2:7">
      <c r="B1" s="12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</row>
    <row r="2" spans="2:7">
      <c r="B2" s="5">
        <v>1</v>
      </c>
      <c r="C2" s="14" t="s">
        <v>37</v>
      </c>
      <c r="D2" s="14" t="s">
        <v>6</v>
      </c>
      <c r="E2" s="14" t="s">
        <v>15</v>
      </c>
      <c r="F2" s="15">
        <v>0.41666666666666669</v>
      </c>
      <c r="G2" s="16">
        <v>55000</v>
      </c>
    </row>
    <row r="3" spans="2:7">
      <c r="B3" s="5">
        <v>2</v>
      </c>
      <c r="C3" s="14" t="s">
        <v>37</v>
      </c>
      <c r="D3" s="14" t="s">
        <v>16</v>
      </c>
      <c r="E3" s="14" t="s">
        <v>17</v>
      </c>
      <c r="F3" s="15">
        <v>0.4236111111111111</v>
      </c>
      <c r="G3" s="16">
        <v>7800</v>
      </c>
    </row>
    <row r="4" spans="2:7">
      <c r="B4" s="5">
        <v>3</v>
      </c>
      <c r="C4" s="14" t="s">
        <v>37</v>
      </c>
      <c r="D4" s="14" t="s">
        <v>18</v>
      </c>
      <c r="E4" s="14" t="s">
        <v>17</v>
      </c>
      <c r="F4" s="15">
        <v>0.43055555555555503</v>
      </c>
      <c r="G4" s="16"/>
    </row>
    <row r="5" spans="2:7">
      <c r="B5" s="5">
        <v>4</v>
      </c>
      <c r="C5" s="14" t="s">
        <v>37</v>
      </c>
      <c r="D5" s="14" t="s">
        <v>21</v>
      </c>
      <c r="E5" s="14" t="s">
        <v>17</v>
      </c>
      <c r="F5" s="15">
        <v>0.4375</v>
      </c>
      <c r="G5" s="16">
        <v>122500</v>
      </c>
    </row>
    <row r="6" spans="2:7">
      <c r="B6" s="5">
        <v>5</v>
      </c>
      <c r="C6" s="14" t="s">
        <v>37</v>
      </c>
      <c r="D6" s="14" t="s">
        <v>23</v>
      </c>
      <c r="E6" s="14" t="s">
        <v>20</v>
      </c>
      <c r="F6" s="15">
        <v>0.44444444444444398</v>
      </c>
      <c r="G6" s="16">
        <v>21020</v>
      </c>
    </row>
    <row r="7" spans="2:7">
      <c r="B7" s="5">
        <v>6</v>
      </c>
      <c r="C7" s="14" t="s">
        <v>38</v>
      </c>
      <c r="D7" s="14" t="s">
        <v>7</v>
      </c>
      <c r="E7" s="14" t="s">
        <v>20</v>
      </c>
      <c r="F7" s="15">
        <v>0.45138888888888901</v>
      </c>
      <c r="G7" s="16">
        <v>2020</v>
      </c>
    </row>
    <row r="8" spans="2:7">
      <c r="B8" s="5">
        <v>7</v>
      </c>
      <c r="C8" s="14" t="s">
        <v>38</v>
      </c>
      <c r="D8" s="14" t="s">
        <v>24</v>
      </c>
      <c r="E8" s="14" t="s">
        <v>19</v>
      </c>
      <c r="F8" s="15">
        <v>0.45833333333333298</v>
      </c>
      <c r="G8" s="16">
        <v>14560</v>
      </c>
    </row>
    <row r="9" spans="2:7">
      <c r="B9" s="5">
        <v>8</v>
      </c>
      <c r="C9" s="14" t="s">
        <v>38</v>
      </c>
      <c r="D9" s="14" t="s">
        <v>9</v>
      </c>
      <c r="E9" s="14" t="s">
        <v>19</v>
      </c>
      <c r="F9" s="15">
        <v>0.58333333333333337</v>
      </c>
      <c r="G9" s="16"/>
    </row>
    <row r="10" spans="2:7">
      <c r="B10" s="5">
        <v>9</v>
      </c>
      <c r="C10" s="14" t="s">
        <v>38</v>
      </c>
      <c r="D10" s="14" t="s">
        <v>10</v>
      </c>
      <c r="E10" s="14" t="s">
        <v>19</v>
      </c>
      <c r="F10" s="15">
        <v>0.625</v>
      </c>
      <c r="G10" s="16">
        <v>22020</v>
      </c>
    </row>
    <row r="11" spans="2:7">
      <c r="B11" s="5">
        <v>10</v>
      </c>
      <c r="C11" s="14" t="s">
        <v>38</v>
      </c>
      <c r="D11" s="14" t="s">
        <v>12</v>
      </c>
      <c r="E11" s="14" t="s">
        <v>15</v>
      </c>
      <c r="F11" s="15">
        <v>0.66666666666666696</v>
      </c>
      <c r="G11" s="16">
        <v>80250</v>
      </c>
    </row>
    <row r="12" spans="2:7">
      <c r="B12" s="5">
        <v>11</v>
      </c>
      <c r="C12" s="14" t="s">
        <v>38</v>
      </c>
      <c r="D12" s="14" t="s">
        <v>25</v>
      </c>
      <c r="E12" s="14" t="s">
        <v>17</v>
      </c>
      <c r="F12" s="15">
        <v>0.70833333333333304</v>
      </c>
      <c r="G12" s="16">
        <v>135000</v>
      </c>
    </row>
    <row r="13" spans="2:7">
      <c r="B13" s="5">
        <v>12</v>
      </c>
      <c r="C13" s="14" t="s">
        <v>39</v>
      </c>
      <c r="D13" s="14" t="s">
        <v>8</v>
      </c>
      <c r="E13" s="14" t="s">
        <v>19</v>
      </c>
      <c r="F13" s="15">
        <v>0.75</v>
      </c>
      <c r="G13" s="16">
        <v>38000</v>
      </c>
    </row>
    <row r="14" spans="2:7">
      <c r="B14" s="5">
        <v>13</v>
      </c>
      <c r="C14" s="14" t="s">
        <v>39</v>
      </c>
      <c r="D14" s="14" t="s">
        <v>26</v>
      </c>
      <c r="E14" s="14" t="s">
        <v>15</v>
      </c>
      <c r="F14" s="15">
        <v>0.79166666666666696</v>
      </c>
      <c r="G14" s="16"/>
    </row>
    <row r="15" spans="2:7">
      <c r="B15" s="5">
        <v>14</v>
      </c>
      <c r="C15" s="14" t="s">
        <v>39</v>
      </c>
      <c r="D15" s="14" t="s">
        <v>27</v>
      </c>
      <c r="E15" s="14" t="s">
        <v>15</v>
      </c>
      <c r="F15" s="15">
        <v>0.83333333333333304</v>
      </c>
      <c r="G15" s="16">
        <v>135000</v>
      </c>
    </row>
    <row r="16" spans="2:7">
      <c r="B16" s="5">
        <v>15</v>
      </c>
      <c r="C16" s="14" t="s">
        <v>39</v>
      </c>
      <c r="D16" s="14" t="s">
        <v>3</v>
      </c>
      <c r="E16" s="14" t="s">
        <v>17</v>
      </c>
      <c r="F16" s="15">
        <v>0.45138888888888901</v>
      </c>
      <c r="G16" s="16">
        <v>38700</v>
      </c>
    </row>
    <row r="17" spans="2:8">
      <c r="B17" s="5">
        <v>16</v>
      </c>
      <c r="C17" s="17" t="s">
        <v>40</v>
      </c>
      <c r="D17" s="14" t="s">
        <v>5</v>
      </c>
      <c r="E17" s="14" t="s">
        <v>20</v>
      </c>
      <c r="F17" s="15">
        <v>0.45833333333333298</v>
      </c>
      <c r="G17" s="16">
        <v>1350</v>
      </c>
    </row>
    <row r="18" spans="2:8">
      <c r="B18" s="5">
        <v>17</v>
      </c>
      <c r="C18" s="17" t="s">
        <v>40</v>
      </c>
      <c r="D18" s="14" t="s">
        <v>28</v>
      </c>
      <c r="E18" s="14" t="s">
        <v>20</v>
      </c>
      <c r="F18" s="15">
        <v>0.46527777777777801</v>
      </c>
      <c r="G18" s="16">
        <v>37000</v>
      </c>
    </row>
    <row r="19" spans="2:8">
      <c r="B19" s="5">
        <v>18</v>
      </c>
      <c r="C19" s="17" t="s">
        <v>40</v>
      </c>
      <c r="D19" s="14" t="s">
        <v>29</v>
      </c>
      <c r="E19" s="14" t="s">
        <v>19</v>
      </c>
      <c r="F19" s="15">
        <v>0.50694444444444497</v>
      </c>
      <c r="G19" s="16"/>
    </row>
    <row r="20" spans="2:8">
      <c r="B20" s="5">
        <v>19</v>
      </c>
      <c r="C20" s="17" t="s">
        <v>40</v>
      </c>
      <c r="D20" s="14" t="s">
        <v>41</v>
      </c>
      <c r="E20" s="14" t="s">
        <v>42</v>
      </c>
      <c r="F20" s="15">
        <v>0.45138888888888901</v>
      </c>
      <c r="G20" s="16">
        <v>3500</v>
      </c>
    </row>
    <row r="21" spans="2:8">
      <c r="B21" s="5">
        <v>20</v>
      </c>
      <c r="C21" s="17" t="s">
        <v>40</v>
      </c>
      <c r="D21" s="14" t="s">
        <v>43</v>
      </c>
      <c r="E21" s="14" t="s">
        <v>44</v>
      </c>
      <c r="F21" s="15">
        <v>0.45833333333333298</v>
      </c>
      <c r="G21" s="16">
        <v>6800</v>
      </c>
    </row>
    <row r="23" spans="2:8">
      <c r="B23" s="3" t="s">
        <v>325</v>
      </c>
      <c r="D23" s="13" t="s">
        <v>32</v>
      </c>
      <c r="E23" s="13" t="s">
        <v>36</v>
      </c>
      <c r="G23" s="3" t="s">
        <v>323</v>
      </c>
      <c r="H23" s="3" t="s">
        <v>324</v>
      </c>
    </row>
    <row r="24" spans="2:8">
      <c r="B24" s="3" t="b">
        <f>OR(RIGHT(C2,4)="OLED", G2&gt;AVERAGE($G$2:$G$21))</f>
        <v>1</v>
      </c>
      <c r="D24" s="23" t="s">
        <v>322</v>
      </c>
      <c r="G24" s="3" t="b">
        <f>RIGHT(C2,4)="OLED"</f>
        <v>0</v>
      </c>
    </row>
    <row r="25" spans="2:8">
      <c r="E25" s="57" t="str">
        <f>"&gt;"&amp;AVERAGE($G$2:$G$21)</f>
        <v>&gt;45032.5</v>
      </c>
      <c r="H25" s="3" t="b">
        <f>G2&gt;AVERAGE($G$2:$G$21)</f>
        <v>1</v>
      </c>
    </row>
    <row r="28" spans="2:8">
      <c r="B28" s="12" t="s">
        <v>31</v>
      </c>
      <c r="C28" s="13" t="s">
        <v>32</v>
      </c>
      <c r="D28" s="3" t="s">
        <v>326</v>
      </c>
      <c r="E28" s="3" t="s">
        <v>327</v>
      </c>
    </row>
    <row r="29" spans="2:8">
      <c r="B29" s="5">
        <v>1</v>
      </c>
      <c r="C29" s="14" t="s">
        <v>37</v>
      </c>
      <c r="D29" s="16">
        <v>55000</v>
      </c>
      <c r="E29" s="14" t="s">
        <v>15</v>
      </c>
    </row>
    <row r="30" spans="2:8">
      <c r="B30" s="5">
        <v>4</v>
      </c>
      <c r="C30" s="14" t="s">
        <v>37</v>
      </c>
      <c r="D30" s="16">
        <v>122500</v>
      </c>
      <c r="E30" s="14" t="s">
        <v>17</v>
      </c>
    </row>
    <row r="31" spans="2:8">
      <c r="B31" s="5">
        <v>6</v>
      </c>
      <c r="C31" s="14" t="s">
        <v>38</v>
      </c>
      <c r="D31" s="16">
        <v>2020</v>
      </c>
      <c r="E31" s="14" t="s">
        <v>20</v>
      </c>
    </row>
    <row r="32" spans="2:8">
      <c r="B32" s="5">
        <v>7</v>
      </c>
      <c r="C32" s="14" t="s">
        <v>38</v>
      </c>
      <c r="D32" s="16">
        <v>14560</v>
      </c>
      <c r="E32" s="14" t="s">
        <v>19</v>
      </c>
    </row>
    <row r="33" spans="2:5">
      <c r="B33" s="5">
        <v>8</v>
      </c>
      <c r="C33" s="14" t="s">
        <v>38</v>
      </c>
      <c r="D33" s="16"/>
      <c r="E33" s="14" t="s">
        <v>19</v>
      </c>
    </row>
    <row r="34" spans="2:5">
      <c r="B34" s="5">
        <v>9</v>
      </c>
      <c r="C34" s="14" t="s">
        <v>38</v>
      </c>
      <c r="D34" s="16">
        <v>22020</v>
      </c>
      <c r="E34" s="14" t="s">
        <v>19</v>
      </c>
    </row>
    <row r="35" spans="2:5">
      <c r="B35" s="5">
        <v>10</v>
      </c>
      <c r="C35" s="14" t="s">
        <v>38</v>
      </c>
      <c r="D35" s="16">
        <v>80250</v>
      </c>
      <c r="E35" s="14" t="s">
        <v>15</v>
      </c>
    </row>
    <row r="36" spans="2:5">
      <c r="B36" s="5">
        <v>11</v>
      </c>
      <c r="C36" s="14" t="s">
        <v>38</v>
      </c>
      <c r="D36" s="16">
        <v>135000</v>
      </c>
      <c r="E36" s="14" t="s">
        <v>17</v>
      </c>
    </row>
    <row r="37" spans="2:5">
      <c r="B37" s="5">
        <v>12</v>
      </c>
      <c r="C37" s="14" t="s">
        <v>39</v>
      </c>
      <c r="D37" s="16">
        <v>38000</v>
      </c>
      <c r="E37" s="14" t="s">
        <v>19</v>
      </c>
    </row>
    <row r="38" spans="2:5">
      <c r="B38" s="5">
        <v>13</v>
      </c>
      <c r="C38" s="14" t="s">
        <v>39</v>
      </c>
      <c r="D38" s="16"/>
      <c r="E38" s="14" t="s">
        <v>15</v>
      </c>
    </row>
    <row r="39" spans="2:5">
      <c r="B39" s="5">
        <v>14</v>
      </c>
      <c r="C39" s="14" t="s">
        <v>39</v>
      </c>
      <c r="D39" s="16">
        <v>135000</v>
      </c>
      <c r="E39" s="14" t="s">
        <v>15</v>
      </c>
    </row>
    <row r="40" spans="2:5">
      <c r="B40" s="5">
        <v>15</v>
      </c>
      <c r="C40" s="14" t="s">
        <v>39</v>
      </c>
      <c r="D40" s="16">
        <v>38700</v>
      </c>
      <c r="E40" s="14" t="s">
        <v>17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2D4979-04BD-4BEA-9C0B-A2E9BBE0DA6B}">
            <xm:f>OR(YEAR('[모의고사10 엑셀 실습파일.xlsm]분석작업-1'!#REF!)=2001,YEAR('[모의고사10 엑셀 실습파일.xlsm]분석작업-1'!#REF!)=2003,MONTH('[모의고사10 엑셀 실습파일.xlsm]분석작업-1'!#REF!)=4)</xm:f>
            <x14:dxf>
              <font>
                <b/>
                <i val="0"/>
                <color rgb="FFFF0000"/>
              </font>
            </x14:dxf>
          </x14:cfRule>
          <xm:sqref>C2:E16 D17:E21 G2:G21 D24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F21"/>
  <sheetViews>
    <sheetView workbookViewId="0">
      <selection activeCell="E17" sqref="E17"/>
    </sheetView>
  </sheetViews>
  <sheetFormatPr defaultRowHeight="16.5"/>
  <cols>
    <col min="1" max="1" width="3.875" style="3" customWidth="1"/>
    <col min="2" max="2" width="9.75" style="3" customWidth="1"/>
    <col min="3" max="4" width="11.75" style="3" customWidth="1"/>
    <col min="5" max="5" width="13.625" style="3" customWidth="1"/>
    <col min="6" max="6" width="15.5" style="3" customWidth="1"/>
    <col min="7" max="7" width="7.5" style="3" customWidth="1"/>
    <col min="8" max="8" width="8.75" style="3" customWidth="1"/>
    <col min="9" max="16384" width="9" style="3"/>
  </cols>
  <sheetData>
    <row r="1" spans="2:6">
      <c r="B1" s="12" t="s">
        <v>45</v>
      </c>
      <c r="C1" s="13" t="s">
        <v>46</v>
      </c>
      <c r="D1" s="13" t="s">
        <v>47</v>
      </c>
      <c r="E1" s="13" t="s">
        <v>48</v>
      </c>
      <c r="F1" s="13" t="s">
        <v>49</v>
      </c>
    </row>
    <row r="2" spans="2:6">
      <c r="B2" s="5">
        <v>1</v>
      </c>
      <c r="C2" s="4" t="s">
        <v>1</v>
      </c>
      <c r="D2" s="14">
        <v>8.6999999999999993</v>
      </c>
      <c r="E2" s="14">
        <v>9.4</v>
      </c>
      <c r="F2" s="14">
        <v>9.1</v>
      </c>
    </row>
    <row r="3" spans="2:6">
      <c r="B3" s="5">
        <v>2</v>
      </c>
      <c r="C3" s="4" t="s">
        <v>2</v>
      </c>
      <c r="D3" s="14">
        <v>6.9</v>
      </c>
      <c r="E3" s="14">
        <v>6.7</v>
      </c>
      <c r="F3" s="14">
        <v>6.7</v>
      </c>
    </row>
    <row r="4" spans="2:6">
      <c r="B4" s="5">
        <v>3</v>
      </c>
      <c r="C4" s="4" t="s">
        <v>3</v>
      </c>
      <c r="D4" s="14">
        <v>9.9</v>
      </c>
      <c r="E4" s="14">
        <v>8.6999999999999993</v>
      </c>
      <c r="F4" s="14">
        <v>8.6999999999999993</v>
      </c>
    </row>
    <row r="5" spans="2:6">
      <c r="B5" s="5">
        <v>4</v>
      </c>
      <c r="C5" s="4" t="s">
        <v>4</v>
      </c>
      <c r="D5" s="14">
        <v>4.5999999999999996</v>
      </c>
      <c r="E5" s="14">
        <v>9.1999999999999993</v>
      </c>
      <c r="F5" s="14">
        <v>9.1999999999999993</v>
      </c>
    </row>
    <row r="6" spans="2:6">
      <c r="B6" s="5">
        <v>5</v>
      </c>
      <c r="C6" s="4" t="s">
        <v>50</v>
      </c>
      <c r="D6" s="14">
        <v>7.9</v>
      </c>
      <c r="E6" s="14">
        <v>9.8000000000000007</v>
      </c>
      <c r="F6" s="14">
        <v>9.1</v>
      </c>
    </row>
    <row r="7" spans="2:6">
      <c r="B7" s="5">
        <v>6</v>
      </c>
      <c r="C7" s="4" t="s">
        <v>51</v>
      </c>
      <c r="D7" s="14">
        <v>8.6999999999999993</v>
      </c>
      <c r="E7" s="14">
        <v>1.5</v>
      </c>
      <c r="F7" s="14">
        <v>8.5</v>
      </c>
    </row>
    <row r="8" spans="2:6">
      <c r="B8" s="5">
        <v>7</v>
      </c>
      <c r="C8" s="4" t="s">
        <v>5</v>
      </c>
      <c r="D8" s="14">
        <v>9.1999999999999993</v>
      </c>
      <c r="E8" s="14">
        <v>7.6</v>
      </c>
      <c r="F8" s="14">
        <v>7.6</v>
      </c>
    </row>
    <row r="9" spans="2:6">
      <c r="B9" s="5">
        <v>8</v>
      </c>
      <c r="C9" s="4" t="s">
        <v>52</v>
      </c>
      <c r="D9" s="14">
        <v>9.1</v>
      </c>
      <c r="E9" s="14">
        <v>8.6</v>
      </c>
      <c r="F9" s="14">
        <v>8.6</v>
      </c>
    </row>
    <row r="10" spans="2:6">
      <c r="B10" s="5">
        <v>9</v>
      </c>
      <c r="C10" s="4" t="s">
        <v>53</v>
      </c>
      <c r="D10" s="14">
        <v>8.5</v>
      </c>
      <c r="E10" s="14">
        <v>4.5999999999999996</v>
      </c>
      <c r="F10" s="14">
        <v>4.5999999999999996</v>
      </c>
    </row>
    <row r="11" spans="2:6">
      <c r="B11" s="5">
        <v>10</v>
      </c>
      <c r="C11" s="4" t="s">
        <v>8</v>
      </c>
      <c r="D11" s="14">
        <v>7.6</v>
      </c>
      <c r="E11" s="14">
        <v>6.7</v>
      </c>
      <c r="F11" s="14">
        <v>6.7</v>
      </c>
    </row>
    <row r="12" spans="2:6">
      <c r="B12" s="5">
        <v>11</v>
      </c>
      <c r="C12" s="4" t="s">
        <v>9</v>
      </c>
      <c r="D12" s="14">
        <v>8.6</v>
      </c>
      <c r="E12" s="14">
        <v>8.6999999999999993</v>
      </c>
      <c r="F12" s="14">
        <v>8.6999999999999993</v>
      </c>
    </row>
    <row r="13" spans="2:6">
      <c r="B13" s="5">
        <v>12</v>
      </c>
      <c r="C13" s="4" t="s">
        <v>10</v>
      </c>
      <c r="D13" s="14">
        <v>4.5999999999999996</v>
      </c>
      <c r="E13" s="14">
        <v>9.1999999999999993</v>
      </c>
      <c r="F13" s="14">
        <v>1.5</v>
      </c>
    </row>
    <row r="14" spans="2:6">
      <c r="B14" s="5">
        <v>13</v>
      </c>
      <c r="C14" s="4" t="s">
        <v>11</v>
      </c>
      <c r="D14" s="14">
        <v>6.7</v>
      </c>
      <c r="E14" s="14">
        <v>8.6999999999999993</v>
      </c>
      <c r="F14" s="14">
        <v>7.6</v>
      </c>
    </row>
    <row r="15" spans="2:6">
      <c r="B15" s="5">
        <v>14</v>
      </c>
      <c r="C15" s="4" t="s">
        <v>12</v>
      </c>
      <c r="D15" s="14">
        <v>8.6999999999999993</v>
      </c>
      <c r="E15" s="14">
        <v>9.1999999999999993</v>
      </c>
      <c r="F15" s="14">
        <v>8.6</v>
      </c>
    </row>
    <row r="16" spans="2:6">
      <c r="B16" s="5">
        <v>15</v>
      </c>
      <c r="C16" s="14" t="s">
        <v>26</v>
      </c>
      <c r="D16" s="14">
        <v>9.1999999999999993</v>
      </c>
      <c r="E16" s="14">
        <v>9.1</v>
      </c>
      <c r="F16" s="14">
        <v>4.5999999999999996</v>
      </c>
    </row>
    <row r="17" spans="2:6">
      <c r="B17" s="5">
        <v>16</v>
      </c>
      <c r="C17" s="14" t="s">
        <v>27</v>
      </c>
      <c r="D17" s="14">
        <v>9.1</v>
      </c>
      <c r="E17" s="14">
        <v>8.5</v>
      </c>
      <c r="F17" s="14">
        <v>6.7</v>
      </c>
    </row>
    <row r="18" spans="2:6">
      <c r="B18" s="5">
        <v>17</v>
      </c>
      <c r="C18" s="14" t="s">
        <v>3</v>
      </c>
      <c r="D18" s="14">
        <v>8.5</v>
      </c>
      <c r="E18" s="14">
        <v>7.6</v>
      </c>
      <c r="F18" s="14">
        <v>9.1999999999999993</v>
      </c>
    </row>
    <row r="19" spans="2:6">
      <c r="B19" s="5">
        <v>18</v>
      </c>
      <c r="C19" s="14" t="s">
        <v>5</v>
      </c>
      <c r="D19" s="14">
        <v>6.7</v>
      </c>
      <c r="E19" s="14">
        <v>4.5999999999999996</v>
      </c>
      <c r="F19" s="14">
        <v>9.1</v>
      </c>
    </row>
    <row r="20" spans="2:6">
      <c r="B20" s="5">
        <v>19</v>
      </c>
      <c r="C20" s="14" t="s">
        <v>28</v>
      </c>
      <c r="D20" s="14">
        <v>8.6999999999999993</v>
      </c>
      <c r="E20" s="14">
        <v>6.7</v>
      </c>
      <c r="F20" s="14">
        <v>9.1999999999999993</v>
      </c>
    </row>
    <row r="21" spans="2:6">
      <c r="B21" s="5">
        <v>20</v>
      </c>
      <c r="C21" s="14" t="s">
        <v>29</v>
      </c>
      <c r="D21" s="14">
        <v>1.2</v>
      </c>
      <c r="E21" s="14">
        <v>8.6999999999999993</v>
      </c>
      <c r="F21" s="14">
        <v>7.6</v>
      </c>
    </row>
  </sheetData>
  <phoneticPr fontId="1" type="noConversion"/>
  <conditionalFormatting sqref="B2:F21">
    <cfRule type="expression" dxfId="4" priority="1">
      <formula>AND($D2&gt;=8,$E2&gt;=8,$F2&gt;=8,AVERAGE($D2:$F2)&gt;=9)</formula>
    </cfRule>
    <cfRule type="expression" dxfId="3" priority="2">
      <formula>OR($D2=MAX($D$2:$D$21),$D2=MIN($D$2:$D$21),$E2=MAX($E$2:$E$21),$E2=MIN($E$2:$E$21))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R59"/>
  <sheetViews>
    <sheetView workbookViewId="0">
      <selection activeCell="F33" sqref="F33"/>
    </sheetView>
  </sheetViews>
  <sheetFormatPr defaultRowHeight="16.5"/>
  <cols>
    <col min="1" max="1" width="3.625" customWidth="1"/>
    <col min="3" max="3" width="10.25" bestFit="1" customWidth="1"/>
    <col min="4" max="4" width="13.625" customWidth="1"/>
    <col min="5" max="5" width="11" bestFit="1" customWidth="1"/>
    <col min="6" max="6" width="13.625" customWidth="1"/>
    <col min="7" max="7" width="12" customWidth="1"/>
    <col min="9" max="9" width="11.625" customWidth="1"/>
    <col min="15" max="16" width="11.125" bestFit="1" customWidth="1"/>
    <col min="17" max="17" width="12.25" customWidth="1"/>
  </cols>
  <sheetData>
    <row r="1" spans="2:17">
      <c r="B1" t="s">
        <v>91</v>
      </c>
      <c r="M1" t="s">
        <v>92</v>
      </c>
      <c r="P1" t="s">
        <v>93</v>
      </c>
      <c r="Q1" s="18">
        <v>43586</v>
      </c>
    </row>
    <row r="2" spans="2:17">
      <c r="B2" s="6" t="s">
        <v>94</v>
      </c>
      <c r="C2" s="6" t="s">
        <v>95</v>
      </c>
      <c r="D2" s="6" t="s">
        <v>96</v>
      </c>
      <c r="E2" s="6" t="s">
        <v>97</v>
      </c>
      <c r="F2" s="6" t="s">
        <v>98</v>
      </c>
      <c r="G2" s="6" t="s">
        <v>99</v>
      </c>
      <c r="H2" s="6" t="s">
        <v>100</v>
      </c>
      <c r="I2" s="8" t="s">
        <v>101</v>
      </c>
      <c r="J2" s="26" t="s">
        <v>113</v>
      </c>
      <c r="M2" s="19" t="s">
        <v>102</v>
      </c>
      <c r="N2" s="20" t="s">
        <v>0</v>
      </c>
      <c r="O2" s="20" t="s">
        <v>103</v>
      </c>
      <c r="P2" s="20" t="s">
        <v>104</v>
      </c>
      <c r="Q2" s="21" t="s">
        <v>105</v>
      </c>
    </row>
    <row r="3" spans="2:17">
      <c r="B3" s="6">
        <v>1</v>
      </c>
      <c r="C3" s="4" t="s">
        <v>1</v>
      </c>
      <c r="D3" s="4"/>
      <c r="E3" s="22">
        <v>87</v>
      </c>
      <c r="F3" s="22">
        <v>94</v>
      </c>
      <c r="G3" s="22">
        <v>91</v>
      </c>
      <c r="H3" s="22">
        <v>92</v>
      </c>
      <c r="I3" s="6" t="str">
        <f>IF(AND(AVERAGE(E3:H3)&gt;AVERAGE($E$3:$H$16),ISBLANK(D3)=TRUE),"이수","미이수")</f>
        <v>이수</v>
      </c>
      <c r="J3" t="str">
        <f>IF(AND(AVERAGE(E3:H3)&gt;AVERAGE($E$3:$H$16),ISBLANK(D3)),"이수","미이수")</f>
        <v>이수</v>
      </c>
      <c r="K3" s="23"/>
      <c r="M3" s="6">
        <v>1</v>
      </c>
      <c r="N3" s="24" t="s">
        <v>56</v>
      </c>
      <c r="O3" s="25">
        <v>43105</v>
      </c>
      <c r="P3" s="24" t="s">
        <v>106</v>
      </c>
      <c r="Q3" s="6" t="str">
        <f>QUOTIENT($Q$1-O3,365)&amp;"년 " &amp; QUOTIENT(MOD($Q$1-O3,365),30)&amp;"개월"</f>
        <v>1년 3개월</v>
      </c>
    </row>
    <row r="4" spans="2:17">
      <c r="B4" s="6">
        <v>2</v>
      </c>
      <c r="C4" s="4" t="s">
        <v>2</v>
      </c>
      <c r="D4" s="4">
        <v>1</v>
      </c>
      <c r="E4" s="22">
        <v>69</v>
      </c>
      <c r="F4" s="22">
        <v>67</v>
      </c>
      <c r="G4" s="22">
        <v>67</v>
      </c>
      <c r="H4" s="22">
        <v>91</v>
      </c>
      <c r="I4" s="6" t="str">
        <f t="shared" ref="I4:I16" si="0">IF(AND(AVERAGE(E4:H4)&gt;AVERAGE($E$3:$H$16),ISBLANK(D4)=TRUE),"이수","미이수")</f>
        <v>미이수</v>
      </c>
      <c r="J4" t="str">
        <f t="shared" ref="J4:J16" si="1">IF(AND(AVERAGE(E4:H4)&gt;AVERAGE($E$3:$H$16),ISBLANK(D4)),"이수","미이수")</f>
        <v>미이수</v>
      </c>
      <c r="M4" s="6">
        <v>2</v>
      </c>
      <c r="N4" s="24" t="s">
        <v>58</v>
      </c>
      <c r="O4" s="25">
        <v>39814</v>
      </c>
      <c r="P4" s="24" t="s">
        <v>106</v>
      </c>
      <c r="Q4" s="6" t="str">
        <f t="shared" ref="Q4:Q22" si="2">QUOTIENT($Q$1-O4,365)&amp;"년 " &amp; QUOTIENT(MOD($Q$1-O4,365),30)&amp;"개월"</f>
        <v>10년 4개월</v>
      </c>
    </row>
    <row r="5" spans="2:17">
      <c r="B5" s="6">
        <v>3</v>
      </c>
      <c r="C5" s="4" t="s">
        <v>3</v>
      </c>
      <c r="D5" s="4"/>
      <c r="E5" s="22">
        <v>99</v>
      </c>
      <c r="F5" s="22">
        <v>87</v>
      </c>
      <c r="G5" s="22">
        <v>87</v>
      </c>
      <c r="H5" s="22">
        <v>85</v>
      </c>
      <c r="I5" s="6" t="str">
        <f t="shared" si="0"/>
        <v>이수</v>
      </c>
      <c r="J5" t="str">
        <f t="shared" si="1"/>
        <v>이수</v>
      </c>
      <c r="M5" s="6">
        <v>3</v>
      </c>
      <c r="N5" s="24" t="s">
        <v>62</v>
      </c>
      <c r="O5" s="25">
        <v>36831</v>
      </c>
      <c r="P5" s="24" t="s">
        <v>107</v>
      </c>
      <c r="Q5" s="6" t="str">
        <f t="shared" si="2"/>
        <v>18년 6개월</v>
      </c>
    </row>
    <row r="6" spans="2:17">
      <c r="B6" s="6">
        <v>4</v>
      </c>
      <c r="C6" s="4" t="s">
        <v>4</v>
      </c>
      <c r="D6" s="4">
        <v>2</v>
      </c>
      <c r="E6" s="22">
        <v>46</v>
      </c>
      <c r="F6" s="22">
        <v>92</v>
      </c>
      <c r="G6" s="22">
        <v>92</v>
      </c>
      <c r="H6" s="22">
        <v>67</v>
      </c>
      <c r="I6" s="6" t="str">
        <f t="shared" si="0"/>
        <v>미이수</v>
      </c>
      <c r="J6" t="str">
        <f t="shared" si="1"/>
        <v>미이수</v>
      </c>
      <c r="M6" s="6">
        <v>4</v>
      </c>
      <c r="N6" s="24" t="s">
        <v>64</v>
      </c>
      <c r="O6" s="25">
        <v>40544</v>
      </c>
      <c r="P6" s="24" t="s">
        <v>106</v>
      </c>
      <c r="Q6" s="6" t="str">
        <f t="shared" si="2"/>
        <v>8년 4개월</v>
      </c>
    </row>
    <row r="7" spans="2:17">
      <c r="B7" s="6">
        <v>5</v>
      </c>
      <c r="C7" s="4" t="s">
        <v>108</v>
      </c>
      <c r="D7" s="4"/>
      <c r="E7" s="22">
        <v>79</v>
      </c>
      <c r="F7" s="22">
        <v>98</v>
      </c>
      <c r="G7" s="22">
        <v>91</v>
      </c>
      <c r="H7" s="22">
        <v>87</v>
      </c>
      <c r="I7" s="6" t="str">
        <f t="shared" si="0"/>
        <v>이수</v>
      </c>
      <c r="J7" t="str">
        <f t="shared" si="1"/>
        <v>이수</v>
      </c>
      <c r="M7" s="6">
        <v>5</v>
      </c>
      <c r="N7" s="24" t="s">
        <v>66</v>
      </c>
      <c r="O7" s="25">
        <v>42005</v>
      </c>
      <c r="P7" s="24" t="s">
        <v>106</v>
      </c>
      <c r="Q7" s="6" t="str">
        <f t="shared" si="2"/>
        <v>4년 4개월</v>
      </c>
    </row>
    <row r="8" spans="2:17">
      <c r="B8" s="6">
        <v>6</v>
      </c>
      <c r="C8" s="4" t="s">
        <v>109</v>
      </c>
      <c r="D8" s="4">
        <v>1</v>
      </c>
      <c r="E8" s="22">
        <v>87</v>
      </c>
      <c r="F8" s="22">
        <v>15</v>
      </c>
      <c r="G8" s="22">
        <v>85</v>
      </c>
      <c r="H8" s="22">
        <v>12</v>
      </c>
      <c r="I8" s="6" t="str">
        <f t="shared" si="0"/>
        <v>미이수</v>
      </c>
      <c r="J8" t="str">
        <f t="shared" si="1"/>
        <v>미이수</v>
      </c>
      <c r="M8" s="6">
        <v>6</v>
      </c>
      <c r="N8" s="24" t="s">
        <v>68</v>
      </c>
      <c r="O8" s="25">
        <v>40909</v>
      </c>
      <c r="P8" s="24" t="s">
        <v>106</v>
      </c>
      <c r="Q8" s="6" t="str">
        <f t="shared" si="2"/>
        <v>7년 4개월</v>
      </c>
    </row>
    <row r="9" spans="2:17">
      <c r="B9" s="6">
        <v>7</v>
      </c>
      <c r="C9" s="4" t="s">
        <v>5</v>
      </c>
      <c r="D9" s="4">
        <v>1</v>
      </c>
      <c r="E9" s="22">
        <v>92</v>
      </c>
      <c r="F9" s="22">
        <v>76</v>
      </c>
      <c r="G9" s="22">
        <v>76</v>
      </c>
      <c r="H9" s="22">
        <v>91</v>
      </c>
      <c r="I9" s="6" t="str">
        <f t="shared" si="0"/>
        <v>미이수</v>
      </c>
      <c r="J9" t="str">
        <f t="shared" si="1"/>
        <v>미이수</v>
      </c>
      <c r="M9" s="6">
        <v>7</v>
      </c>
      <c r="N9" s="24" t="s">
        <v>70</v>
      </c>
      <c r="O9" s="25">
        <v>41640</v>
      </c>
      <c r="P9" s="24" t="s">
        <v>106</v>
      </c>
      <c r="Q9" s="6" t="str">
        <f t="shared" si="2"/>
        <v>5년 4개월</v>
      </c>
    </row>
    <row r="10" spans="2:17">
      <c r="B10" s="6">
        <v>8</v>
      </c>
      <c r="C10" s="4" t="s">
        <v>110</v>
      </c>
      <c r="D10" s="4"/>
      <c r="E10" s="22">
        <v>91</v>
      </c>
      <c r="F10" s="22">
        <v>86</v>
      </c>
      <c r="G10" s="22">
        <v>86</v>
      </c>
      <c r="H10" s="22">
        <v>85</v>
      </c>
      <c r="I10" s="6" t="str">
        <f t="shared" si="0"/>
        <v>이수</v>
      </c>
      <c r="J10" t="str">
        <f t="shared" si="1"/>
        <v>이수</v>
      </c>
      <c r="M10" s="6">
        <v>8</v>
      </c>
      <c r="N10" s="24" t="s">
        <v>72</v>
      </c>
      <c r="O10" s="25">
        <v>39814</v>
      </c>
      <c r="P10" s="24" t="s">
        <v>106</v>
      </c>
      <c r="Q10" s="6" t="str">
        <f t="shared" si="2"/>
        <v>10년 4개월</v>
      </c>
    </row>
    <row r="11" spans="2:17">
      <c r="B11" s="6">
        <v>9</v>
      </c>
      <c r="C11" s="4" t="s">
        <v>111</v>
      </c>
      <c r="D11" s="4">
        <v>3</v>
      </c>
      <c r="E11" s="22">
        <v>85</v>
      </c>
      <c r="F11" s="22">
        <v>46</v>
      </c>
      <c r="G11" s="22">
        <v>46</v>
      </c>
      <c r="H11" s="22">
        <v>76</v>
      </c>
      <c r="I11" s="6" t="str">
        <f t="shared" si="0"/>
        <v>미이수</v>
      </c>
      <c r="J11" t="str">
        <f t="shared" si="1"/>
        <v>미이수</v>
      </c>
      <c r="M11" s="6">
        <v>9</v>
      </c>
      <c r="N11" s="24" t="s">
        <v>74</v>
      </c>
      <c r="O11" s="25">
        <v>38687</v>
      </c>
      <c r="P11" s="24" t="s">
        <v>112</v>
      </c>
      <c r="Q11" s="6" t="str">
        <f t="shared" si="2"/>
        <v>13년 5개월</v>
      </c>
    </row>
    <row r="12" spans="2:17">
      <c r="B12" s="6">
        <v>10</v>
      </c>
      <c r="C12" s="4" t="s">
        <v>8</v>
      </c>
      <c r="D12" s="4"/>
      <c r="E12" s="22">
        <v>76</v>
      </c>
      <c r="F12" s="22">
        <v>67</v>
      </c>
      <c r="G12" s="22">
        <v>67</v>
      </c>
      <c r="H12" s="22">
        <v>46</v>
      </c>
      <c r="I12" s="6" t="str">
        <f t="shared" si="0"/>
        <v>미이수</v>
      </c>
      <c r="J12" t="str">
        <f t="shared" si="1"/>
        <v>미이수</v>
      </c>
      <c r="M12" s="6">
        <v>10</v>
      </c>
      <c r="N12" s="24" t="s">
        <v>76</v>
      </c>
      <c r="O12" s="25">
        <v>37987</v>
      </c>
      <c r="P12" s="24" t="s">
        <v>112</v>
      </c>
      <c r="Q12" s="6" t="str">
        <f t="shared" si="2"/>
        <v>15년 4개월</v>
      </c>
    </row>
    <row r="13" spans="2:17">
      <c r="B13" s="6">
        <v>11</v>
      </c>
      <c r="C13" s="4" t="s">
        <v>9</v>
      </c>
      <c r="D13" s="4">
        <v>1</v>
      </c>
      <c r="E13" s="22">
        <v>86</v>
      </c>
      <c r="F13" s="22">
        <v>87</v>
      </c>
      <c r="G13" s="22">
        <v>87</v>
      </c>
      <c r="H13" s="22">
        <v>67</v>
      </c>
      <c r="I13" s="6" t="str">
        <f t="shared" si="0"/>
        <v>미이수</v>
      </c>
      <c r="J13" t="str">
        <f t="shared" si="1"/>
        <v>미이수</v>
      </c>
      <c r="M13" s="6">
        <v>11</v>
      </c>
      <c r="N13" s="24" t="s">
        <v>78</v>
      </c>
      <c r="O13" s="25">
        <v>36526</v>
      </c>
      <c r="P13" s="24" t="s">
        <v>107</v>
      </c>
      <c r="Q13" s="6" t="str">
        <f t="shared" si="2"/>
        <v>19년 4개월</v>
      </c>
    </row>
    <row r="14" spans="2:17">
      <c r="B14" s="6">
        <v>12</v>
      </c>
      <c r="C14" s="4" t="s">
        <v>10</v>
      </c>
      <c r="D14" s="4">
        <v>1</v>
      </c>
      <c r="E14" s="22">
        <v>46</v>
      </c>
      <c r="F14" s="22">
        <v>92</v>
      </c>
      <c r="G14" s="22">
        <v>15</v>
      </c>
      <c r="H14" s="22">
        <v>87</v>
      </c>
      <c r="I14" s="6" t="str">
        <f t="shared" si="0"/>
        <v>미이수</v>
      </c>
      <c r="J14" t="str">
        <f t="shared" si="1"/>
        <v>미이수</v>
      </c>
      <c r="M14" s="6">
        <v>12</v>
      </c>
      <c r="N14" s="24" t="s">
        <v>80</v>
      </c>
      <c r="O14" s="25">
        <v>37622</v>
      </c>
      <c r="P14" s="24" t="s">
        <v>107</v>
      </c>
      <c r="Q14" s="6" t="str">
        <f t="shared" si="2"/>
        <v>16년 4개월</v>
      </c>
    </row>
    <row r="15" spans="2:17">
      <c r="B15" s="6">
        <v>13</v>
      </c>
      <c r="C15" s="4" t="s">
        <v>11</v>
      </c>
      <c r="D15" s="4"/>
      <c r="E15" s="22">
        <v>67</v>
      </c>
      <c r="F15" s="22">
        <v>87</v>
      </c>
      <c r="G15" s="22">
        <v>76</v>
      </c>
      <c r="H15" s="22">
        <v>46</v>
      </c>
      <c r="I15" s="6" t="str">
        <f t="shared" si="0"/>
        <v>미이수</v>
      </c>
      <c r="J15" t="str">
        <f t="shared" si="1"/>
        <v>미이수</v>
      </c>
      <c r="M15" s="6">
        <v>13</v>
      </c>
      <c r="N15" s="24" t="s">
        <v>82</v>
      </c>
      <c r="O15" s="25">
        <v>39814</v>
      </c>
      <c r="P15" s="24" t="s">
        <v>106</v>
      </c>
      <c r="Q15" s="6" t="str">
        <f t="shared" si="2"/>
        <v>10년 4개월</v>
      </c>
    </row>
    <row r="16" spans="2:17">
      <c r="B16" s="6">
        <v>14</v>
      </c>
      <c r="C16" s="4" t="s">
        <v>12</v>
      </c>
      <c r="D16" s="4"/>
      <c r="E16" s="22">
        <v>87</v>
      </c>
      <c r="F16" s="22">
        <v>92</v>
      </c>
      <c r="G16" s="22">
        <v>86</v>
      </c>
      <c r="H16" s="22">
        <v>67</v>
      </c>
      <c r="I16" s="6" t="str">
        <f t="shared" si="0"/>
        <v>이수</v>
      </c>
      <c r="J16" t="str">
        <f t="shared" si="1"/>
        <v>이수</v>
      </c>
      <c r="M16" s="6">
        <v>14</v>
      </c>
      <c r="N16" s="24" t="s">
        <v>84</v>
      </c>
      <c r="O16" s="25">
        <v>39814</v>
      </c>
      <c r="P16" s="24" t="s">
        <v>106</v>
      </c>
      <c r="Q16" s="6" t="str">
        <f t="shared" si="2"/>
        <v>10년 4개월</v>
      </c>
    </row>
    <row r="17" spans="2:17">
      <c r="M17" s="6">
        <v>15</v>
      </c>
      <c r="N17" s="24" t="s">
        <v>85</v>
      </c>
      <c r="O17" s="25">
        <v>39965</v>
      </c>
      <c r="P17" s="24" t="s">
        <v>106</v>
      </c>
      <c r="Q17" s="6" t="str">
        <f t="shared" si="2"/>
        <v>9년 11개월</v>
      </c>
    </row>
    <row r="18" spans="2:17">
      <c r="M18" s="6">
        <v>16</v>
      </c>
      <c r="N18" s="24" t="s">
        <v>86</v>
      </c>
      <c r="O18" s="25">
        <v>39814</v>
      </c>
      <c r="P18" s="24" t="s">
        <v>106</v>
      </c>
      <c r="Q18" s="6" t="str">
        <f t="shared" si="2"/>
        <v>10년 4개월</v>
      </c>
    </row>
    <row r="19" spans="2:17">
      <c r="M19" s="6">
        <v>17</v>
      </c>
      <c r="N19" s="24" t="s">
        <v>87</v>
      </c>
      <c r="O19" s="25">
        <v>39783</v>
      </c>
      <c r="P19" s="24" t="s">
        <v>106</v>
      </c>
      <c r="Q19" s="6" t="str">
        <f t="shared" si="2"/>
        <v>10년 5개월</v>
      </c>
    </row>
    <row r="20" spans="2:17">
      <c r="M20" s="6">
        <v>18</v>
      </c>
      <c r="N20" s="24" t="s">
        <v>88</v>
      </c>
      <c r="O20" s="25">
        <v>39448</v>
      </c>
      <c r="P20" s="24" t="s">
        <v>106</v>
      </c>
      <c r="Q20" s="6" t="str">
        <f t="shared" si="2"/>
        <v>11년 4개월</v>
      </c>
    </row>
    <row r="21" spans="2:17">
      <c r="M21" s="6">
        <v>19</v>
      </c>
      <c r="N21" s="24" t="s">
        <v>89</v>
      </c>
      <c r="O21" s="25">
        <v>38687</v>
      </c>
      <c r="P21" s="24" t="s">
        <v>112</v>
      </c>
      <c r="Q21" s="6" t="str">
        <f t="shared" si="2"/>
        <v>13년 5개월</v>
      </c>
    </row>
    <row r="22" spans="2:17">
      <c r="M22" s="6">
        <v>20</v>
      </c>
      <c r="N22" s="24" t="s">
        <v>90</v>
      </c>
      <c r="O22" s="25">
        <v>37622</v>
      </c>
      <c r="P22" s="24" t="s">
        <v>107</v>
      </c>
      <c r="Q22" s="6" t="str">
        <f t="shared" si="2"/>
        <v>16년 4개월</v>
      </c>
    </row>
    <row r="26" spans="2:17">
      <c r="B26" t="s">
        <v>114</v>
      </c>
      <c r="M26" t="s">
        <v>115</v>
      </c>
    </row>
    <row r="27" spans="2:17">
      <c r="B27" s="27" t="s">
        <v>54</v>
      </c>
      <c r="C27" s="27" t="s">
        <v>0</v>
      </c>
      <c r="D27" s="27" t="s">
        <v>116</v>
      </c>
      <c r="F27" s="58" t="s">
        <v>117</v>
      </c>
      <c r="G27" s="59"/>
      <c r="H27" s="60"/>
      <c r="M27" s="6" t="s">
        <v>118</v>
      </c>
      <c r="N27" s="6" t="s">
        <v>119</v>
      </c>
      <c r="O27" s="6" t="s">
        <v>120</v>
      </c>
      <c r="P27" s="6" t="s">
        <v>121</v>
      </c>
      <c r="Q27" s="6" t="s">
        <v>122</v>
      </c>
    </row>
    <row r="28" spans="2:17">
      <c r="B28" s="28" t="s">
        <v>55</v>
      </c>
      <c r="C28" s="28" t="s">
        <v>56</v>
      </c>
      <c r="D28" s="29">
        <v>20</v>
      </c>
      <c r="F28" s="61">
        <f>AVERAGE(LARGE(D28:D43, {1,2,3,4}))</f>
        <v>93.75</v>
      </c>
      <c r="G28" s="62"/>
      <c r="H28" s="63"/>
      <c r="M28" s="6">
        <v>1</v>
      </c>
      <c r="N28" s="4" t="s">
        <v>1</v>
      </c>
      <c r="O28" s="30" t="s">
        <v>123</v>
      </c>
      <c r="P28" s="31">
        <v>41642</v>
      </c>
      <c r="Q28" s="32">
        <v>10</v>
      </c>
    </row>
    <row r="29" spans="2:17">
      <c r="B29" s="28" t="s">
        <v>57</v>
      </c>
      <c r="C29" s="28" t="s">
        <v>58</v>
      </c>
      <c r="D29" s="29">
        <v>80</v>
      </c>
      <c r="M29" s="6">
        <v>2</v>
      </c>
      <c r="N29" s="4" t="s">
        <v>2</v>
      </c>
      <c r="O29" s="30" t="s">
        <v>124</v>
      </c>
      <c r="P29" s="31">
        <v>42372</v>
      </c>
      <c r="Q29" s="32">
        <v>20</v>
      </c>
    </row>
    <row r="30" spans="2:17">
      <c r="B30" s="28" t="s">
        <v>57</v>
      </c>
      <c r="C30" s="28" t="s">
        <v>58</v>
      </c>
      <c r="D30" s="29">
        <v>90</v>
      </c>
      <c r="M30" s="6">
        <v>3</v>
      </c>
      <c r="N30" s="4" t="s">
        <v>3</v>
      </c>
      <c r="O30" s="30" t="s">
        <v>125</v>
      </c>
      <c r="P30" s="31">
        <v>42738</v>
      </c>
      <c r="Q30" s="32">
        <v>30</v>
      </c>
    </row>
    <row r="31" spans="2:17">
      <c r="B31" s="28" t="s">
        <v>59</v>
      </c>
      <c r="C31" s="28" t="s">
        <v>60</v>
      </c>
      <c r="D31" s="29">
        <v>75</v>
      </c>
      <c r="M31" s="6">
        <v>4</v>
      </c>
      <c r="N31" s="4" t="s">
        <v>4</v>
      </c>
      <c r="O31" s="30" t="s">
        <v>123</v>
      </c>
      <c r="P31" s="31">
        <v>42007</v>
      </c>
      <c r="Q31" s="32">
        <v>40</v>
      </c>
    </row>
    <row r="32" spans="2:17">
      <c r="B32" s="28" t="s">
        <v>61</v>
      </c>
      <c r="C32" s="28" t="s">
        <v>62</v>
      </c>
      <c r="D32" s="29">
        <v>80</v>
      </c>
      <c r="M32" s="6">
        <v>5</v>
      </c>
      <c r="N32" s="4" t="s">
        <v>126</v>
      </c>
      <c r="O32" s="30" t="s">
        <v>124</v>
      </c>
      <c r="P32" s="31">
        <v>42372</v>
      </c>
      <c r="Q32" s="32">
        <v>50</v>
      </c>
    </row>
    <row r="33" spans="2:18">
      <c r="B33" s="28" t="s">
        <v>63</v>
      </c>
      <c r="C33" s="28" t="s">
        <v>64</v>
      </c>
      <c r="D33" s="29">
        <v>85</v>
      </c>
      <c r="M33" s="6">
        <v>6</v>
      </c>
      <c r="N33" s="4" t="s">
        <v>127</v>
      </c>
      <c r="O33" s="30" t="s">
        <v>125</v>
      </c>
      <c r="P33" s="31">
        <v>42007</v>
      </c>
      <c r="Q33" s="32">
        <v>60</v>
      </c>
    </row>
    <row r="34" spans="2:18">
      <c r="B34" s="28" t="s">
        <v>65</v>
      </c>
      <c r="C34" s="28" t="s">
        <v>66</v>
      </c>
      <c r="D34" s="29">
        <v>80</v>
      </c>
      <c r="M34" s="6">
        <v>7</v>
      </c>
      <c r="N34" s="4" t="s">
        <v>5</v>
      </c>
      <c r="O34" s="30" t="s">
        <v>124</v>
      </c>
      <c r="P34" s="31">
        <v>42372</v>
      </c>
      <c r="Q34" s="32">
        <v>70</v>
      </c>
    </row>
    <row r="35" spans="2:18">
      <c r="B35" s="28" t="s">
        <v>67</v>
      </c>
      <c r="C35" s="28" t="s">
        <v>68</v>
      </c>
      <c r="D35" s="29">
        <v>90</v>
      </c>
      <c r="M35" s="6">
        <v>8</v>
      </c>
      <c r="N35" s="4" t="s">
        <v>128</v>
      </c>
      <c r="O35" s="30" t="s">
        <v>125</v>
      </c>
      <c r="P35" s="31">
        <v>42738</v>
      </c>
      <c r="Q35" s="32">
        <v>80</v>
      </c>
    </row>
    <row r="36" spans="2:18">
      <c r="B36" s="28" t="s">
        <v>69</v>
      </c>
      <c r="C36" s="28" t="s">
        <v>70</v>
      </c>
      <c r="D36" s="29">
        <v>95</v>
      </c>
      <c r="M36" s="6">
        <v>9</v>
      </c>
      <c r="N36" s="4" t="s">
        <v>129</v>
      </c>
      <c r="O36" s="30" t="s">
        <v>124</v>
      </c>
      <c r="P36" s="31">
        <v>42007</v>
      </c>
      <c r="Q36" s="32">
        <v>90</v>
      </c>
    </row>
    <row r="37" spans="2:18">
      <c r="B37" s="28" t="s">
        <v>71</v>
      </c>
      <c r="C37" s="28" t="s">
        <v>72</v>
      </c>
      <c r="D37" s="29">
        <v>85</v>
      </c>
      <c r="M37" s="6">
        <v>10</v>
      </c>
      <c r="N37" s="4" t="s">
        <v>8</v>
      </c>
      <c r="O37" s="30" t="s">
        <v>124</v>
      </c>
      <c r="P37" s="31">
        <v>42372</v>
      </c>
      <c r="Q37" s="32">
        <v>100</v>
      </c>
    </row>
    <row r="38" spans="2:18">
      <c r="B38" s="28" t="s">
        <v>73</v>
      </c>
      <c r="C38" s="28" t="s">
        <v>74</v>
      </c>
      <c r="D38" s="29">
        <v>100</v>
      </c>
      <c r="M38" s="6">
        <v>11</v>
      </c>
      <c r="N38" s="4" t="s">
        <v>9</v>
      </c>
      <c r="O38" s="30" t="s">
        <v>125</v>
      </c>
      <c r="P38" s="31">
        <v>42738</v>
      </c>
      <c r="Q38" s="32">
        <v>110</v>
      </c>
    </row>
    <row r="39" spans="2:18">
      <c r="B39" s="28" t="s">
        <v>75</v>
      </c>
      <c r="C39" s="28" t="s">
        <v>76</v>
      </c>
      <c r="D39" s="29">
        <v>80</v>
      </c>
      <c r="M39" s="6">
        <v>12</v>
      </c>
      <c r="N39" s="4" t="s">
        <v>10</v>
      </c>
      <c r="O39" s="30" t="s">
        <v>123</v>
      </c>
      <c r="P39" s="31">
        <v>42007</v>
      </c>
      <c r="Q39" s="32">
        <v>120</v>
      </c>
    </row>
    <row r="40" spans="2:18">
      <c r="B40" s="28" t="s">
        <v>77</v>
      </c>
      <c r="C40" s="28" t="s">
        <v>78</v>
      </c>
      <c r="D40" s="29">
        <v>75</v>
      </c>
      <c r="M40" s="6">
        <v>13</v>
      </c>
      <c r="N40" s="4" t="s">
        <v>11</v>
      </c>
      <c r="O40" s="30" t="s">
        <v>125</v>
      </c>
      <c r="P40" s="31">
        <v>42372</v>
      </c>
      <c r="Q40" s="32">
        <v>130</v>
      </c>
    </row>
    <row r="41" spans="2:18">
      <c r="B41" s="28" t="s">
        <v>79</v>
      </c>
      <c r="C41" s="28" t="s">
        <v>80</v>
      </c>
      <c r="D41" s="29">
        <v>50</v>
      </c>
      <c r="M41" s="6">
        <v>14</v>
      </c>
      <c r="N41" s="4" t="s">
        <v>12</v>
      </c>
      <c r="O41" s="30" t="s">
        <v>123</v>
      </c>
      <c r="P41" s="31">
        <v>42738</v>
      </c>
      <c r="Q41" s="32">
        <v>140</v>
      </c>
    </row>
    <row r="42" spans="2:18">
      <c r="B42" s="28" t="s">
        <v>81</v>
      </c>
      <c r="C42" s="28" t="s">
        <v>82</v>
      </c>
      <c r="D42" s="29">
        <v>60</v>
      </c>
    </row>
    <row r="43" spans="2:18">
      <c r="B43" s="28" t="s">
        <v>83</v>
      </c>
      <c r="C43" s="28" t="s">
        <v>84</v>
      </c>
      <c r="D43" s="29">
        <v>85</v>
      </c>
      <c r="M43" t="s">
        <v>131</v>
      </c>
      <c r="N43" s="34"/>
      <c r="O43" s="64" t="s">
        <v>130</v>
      </c>
      <c r="P43" s="64"/>
      <c r="Q43" s="64"/>
      <c r="R43" s="64"/>
    </row>
    <row r="44" spans="2:18">
      <c r="M44" t="b">
        <f>AND(O28="men", Q28&gt;=PERCENTILE($Q$28:$Q$41,0.5))</f>
        <v>0</v>
      </c>
      <c r="O44" s="65">
        <f>DCOUNTA(M27:Q41,M27,M43:M44)</f>
        <v>2</v>
      </c>
      <c r="P44" s="65"/>
      <c r="Q44" s="65"/>
      <c r="R44" s="65"/>
    </row>
    <row r="48" spans="2:18">
      <c r="B48" t="s">
        <v>132</v>
      </c>
    </row>
    <row r="49" spans="2:7">
      <c r="B49" s="6" t="s">
        <v>133</v>
      </c>
      <c r="C49" s="6" t="s">
        <v>134</v>
      </c>
      <c r="D49" s="6" t="s">
        <v>135</v>
      </c>
      <c r="E49" s="6" t="s">
        <v>136</v>
      </c>
      <c r="F49" s="6" t="s">
        <v>137</v>
      </c>
      <c r="G49" s="33" t="s">
        <v>138</v>
      </c>
    </row>
    <row r="50" spans="2:7">
      <c r="B50" s="1">
        <v>1</v>
      </c>
      <c r="C50" s="6" t="s">
        <v>139</v>
      </c>
      <c r="D50" s="1">
        <v>2.1</v>
      </c>
      <c r="E50" s="1">
        <v>2.5</v>
      </c>
      <c r="F50" s="1">
        <v>1000</v>
      </c>
      <c r="G50" s="10" t="str">
        <f>fn평당환산(C50,D50,E50,F50)</f>
        <v>303평</v>
      </c>
    </row>
    <row r="51" spans="2:7">
      <c r="B51" s="1">
        <v>2</v>
      </c>
      <c r="C51" s="6" t="s">
        <v>139</v>
      </c>
      <c r="D51" s="1">
        <v>2.2000000000000002</v>
      </c>
      <c r="E51" s="1">
        <v>2.1</v>
      </c>
      <c r="F51" s="1">
        <v>2500</v>
      </c>
      <c r="G51" s="10" t="str">
        <f t="shared" ref="G51:G59" si="3">fn평당환산(C51,D51,E51,F51)</f>
        <v>758평</v>
      </c>
    </row>
    <row r="52" spans="2:7">
      <c r="B52" s="1">
        <v>3</v>
      </c>
      <c r="C52" s="6" t="s">
        <v>139</v>
      </c>
      <c r="D52" s="1">
        <v>1.4</v>
      </c>
      <c r="E52" s="1">
        <v>1.9</v>
      </c>
      <c r="F52" s="1">
        <v>3200</v>
      </c>
      <c r="G52" s="10">
        <f t="shared" si="3"/>
        <v>0</v>
      </c>
    </row>
    <row r="53" spans="2:7">
      <c r="B53" s="1">
        <v>4</v>
      </c>
      <c r="C53" s="6"/>
      <c r="D53" s="1">
        <v>2.5</v>
      </c>
      <c r="E53" s="1">
        <v>1.6</v>
      </c>
      <c r="F53" s="1">
        <v>500</v>
      </c>
      <c r="G53" s="10">
        <f t="shared" si="3"/>
        <v>0</v>
      </c>
    </row>
    <row r="54" spans="2:7">
      <c r="B54" s="1">
        <v>5</v>
      </c>
      <c r="C54" s="6"/>
      <c r="D54" s="1">
        <v>1.1000000000000001</v>
      </c>
      <c r="E54" s="1">
        <v>2.1</v>
      </c>
      <c r="F54" s="1">
        <v>5000</v>
      </c>
      <c r="G54" s="10">
        <f t="shared" si="3"/>
        <v>0</v>
      </c>
    </row>
    <row r="55" spans="2:7">
      <c r="B55" s="1">
        <v>6</v>
      </c>
      <c r="C55" s="6" t="s">
        <v>139</v>
      </c>
      <c r="D55" s="1">
        <v>0.9</v>
      </c>
      <c r="E55" s="1">
        <v>2.5</v>
      </c>
      <c r="F55" s="1">
        <v>2200</v>
      </c>
      <c r="G55" s="10">
        <f t="shared" si="3"/>
        <v>0</v>
      </c>
    </row>
    <row r="56" spans="2:7">
      <c r="B56" s="1">
        <v>7</v>
      </c>
      <c r="C56" s="6"/>
      <c r="D56" s="1">
        <v>2.2000000000000002</v>
      </c>
      <c r="E56" s="1">
        <v>0.8</v>
      </c>
      <c r="F56" s="1">
        <v>1500</v>
      </c>
      <c r="G56" s="10">
        <f t="shared" si="3"/>
        <v>0</v>
      </c>
    </row>
    <row r="57" spans="2:7">
      <c r="B57" s="1">
        <v>8</v>
      </c>
      <c r="C57" s="6" t="s">
        <v>139</v>
      </c>
      <c r="D57" s="1">
        <v>1.4</v>
      </c>
      <c r="E57" s="1">
        <v>0.9</v>
      </c>
      <c r="F57" s="1">
        <v>4500</v>
      </c>
      <c r="G57" s="10">
        <f t="shared" si="3"/>
        <v>0</v>
      </c>
    </row>
    <row r="58" spans="2:7">
      <c r="B58" s="1">
        <v>9</v>
      </c>
      <c r="C58" s="6" t="s">
        <v>139</v>
      </c>
      <c r="D58" s="1">
        <v>2.5</v>
      </c>
      <c r="E58" s="1">
        <v>2.2000000000000002</v>
      </c>
      <c r="F58" s="1">
        <v>3200</v>
      </c>
      <c r="G58" s="10" t="str">
        <f t="shared" si="3"/>
        <v>970평</v>
      </c>
    </row>
    <row r="59" spans="2:7">
      <c r="B59" s="1">
        <v>10</v>
      </c>
      <c r="C59" s="6"/>
      <c r="D59" s="1">
        <v>0.8</v>
      </c>
      <c r="E59" s="1">
        <v>1.4</v>
      </c>
      <c r="F59" s="1">
        <v>2000</v>
      </c>
      <c r="G59" s="10">
        <f t="shared" si="3"/>
        <v>0</v>
      </c>
    </row>
  </sheetData>
  <mergeCells count="4">
    <mergeCell ref="F27:H27"/>
    <mergeCell ref="F28:H28"/>
    <mergeCell ref="O43:R43"/>
    <mergeCell ref="O44:R44"/>
  </mergeCells>
  <phoneticPr fontId="1" type="noConversion"/>
  <conditionalFormatting sqref="O40:Q41">
    <cfRule type="expression" dxfId="2" priority="1" stopIfTrue="1">
      <formula>OR(LEN(#REF!)&gt;=2,DAYS360(#REF!,#REF!)&gt;=5)</formula>
    </cfRule>
  </conditionalFormatting>
  <conditionalFormatting sqref="O28:Q39">
    <cfRule type="expression" dxfId="1" priority="2" stopIfTrue="1">
      <formula>OR(LEN($F33)&gt;=2,DAYS360(#REF!,#REF!)&gt;=5)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Z53"/>
  <sheetViews>
    <sheetView workbookViewId="0">
      <selection activeCell="A17" sqref="A17"/>
    </sheetView>
  </sheetViews>
  <sheetFormatPr defaultRowHeight="16.5"/>
  <cols>
    <col min="1" max="1" width="2.75" customWidth="1"/>
    <col min="3" max="3" width="20.5" customWidth="1"/>
    <col min="4" max="4" width="9.875" customWidth="1"/>
    <col min="5" max="5" width="13.75" customWidth="1"/>
    <col min="6" max="6" width="14.5" customWidth="1"/>
    <col min="7" max="8" width="13.625" customWidth="1"/>
    <col min="9" max="9" width="9" customWidth="1"/>
    <col min="10" max="10" width="6.5" customWidth="1"/>
    <col min="11" max="11" width="12.5" customWidth="1"/>
    <col min="15" max="15" width="12" customWidth="1"/>
    <col min="16" max="16" width="5" customWidth="1"/>
    <col min="18" max="18" width="8.375" customWidth="1"/>
    <col min="19" max="19" width="8.5" customWidth="1"/>
    <col min="20" max="20" width="12.625" customWidth="1"/>
    <col min="21" max="21" width="11.875" hidden="1" customWidth="1"/>
    <col min="22" max="22" width="7.5" customWidth="1"/>
    <col min="23" max="23" width="3" customWidth="1"/>
    <col min="25" max="25" width="13.875" customWidth="1"/>
    <col min="26" max="26" width="14.5" customWidth="1"/>
  </cols>
  <sheetData>
    <row r="1" spans="2:26">
      <c r="B1" t="s">
        <v>140</v>
      </c>
      <c r="K1" t="s">
        <v>141</v>
      </c>
      <c r="Q1" t="s">
        <v>142</v>
      </c>
      <c r="X1" t="s">
        <v>143</v>
      </c>
    </row>
    <row r="2" spans="2:26">
      <c r="B2" s="6" t="s">
        <v>144</v>
      </c>
      <c r="C2" s="2" t="s">
        <v>145</v>
      </c>
      <c r="D2" s="2" t="s">
        <v>146</v>
      </c>
      <c r="E2" s="9" t="s">
        <v>147</v>
      </c>
      <c r="F2" s="11" t="s">
        <v>148</v>
      </c>
      <c r="G2" s="9" t="s">
        <v>149</v>
      </c>
      <c r="H2" s="35" t="s">
        <v>150</v>
      </c>
      <c r="I2" t="s">
        <v>189</v>
      </c>
      <c r="K2" s="6" t="s">
        <v>151</v>
      </c>
      <c r="L2" s="35">
        <v>1</v>
      </c>
      <c r="M2" s="35">
        <v>2</v>
      </c>
      <c r="N2" s="35">
        <v>3</v>
      </c>
      <c r="Q2" s="7" t="s">
        <v>152</v>
      </c>
      <c r="R2" s="7" t="s">
        <v>0</v>
      </c>
      <c r="S2" s="7" t="s">
        <v>13</v>
      </c>
      <c r="T2" s="7" t="s">
        <v>153</v>
      </c>
      <c r="U2" s="7" t="s">
        <v>154</v>
      </c>
      <c r="V2" s="7" t="s">
        <v>155</v>
      </c>
      <c r="X2" s="6"/>
      <c r="Y2" s="13" t="s">
        <v>156</v>
      </c>
      <c r="Z2" s="13" t="s">
        <v>157</v>
      </c>
    </row>
    <row r="3" spans="2:26">
      <c r="B3" s="6">
        <v>1</v>
      </c>
      <c r="C3" s="7" t="s">
        <v>159</v>
      </c>
      <c r="D3" s="7">
        <v>101</v>
      </c>
      <c r="E3" s="36">
        <v>3</v>
      </c>
      <c r="F3" s="37">
        <v>357000</v>
      </c>
      <c r="G3" s="7">
        <v>12</v>
      </c>
      <c r="H3" s="6">
        <f>QUOTIENT(G3,CHOOSE(RIGHT(D3,1),10,20,30))</f>
        <v>1</v>
      </c>
      <c r="I3">
        <f>QUOTIENT(G3,CHOOSE(RIGHT(D3,1)*1,10,20,30))</f>
        <v>1</v>
      </c>
      <c r="K3" s="6" t="s">
        <v>160</v>
      </c>
      <c r="L3" s="6">
        <f t="array" ref="L3">MAX(($C$3:$C$29=$K3)*(VALUE(RIGHT($D$3:$D$29,1))=L$2)*$G$3:$G$29)</f>
        <v>37</v>
      </c>
      <c r="M3" s="6">
        <f t="array" ref="M3">MAX(($C$3:$C$29=$K3)*(VALUE(RIGHT($D$3:$D$29,1))=M$2)*$G$3:$G$29)</f>
        <v>32</v>
      </c>
      <c r="N3" s="6">
        <f t="array" ref="N3">MAX(($C$3:$C$29=$K3)*(VALUE(RIGHT($D$3:$D$29,1))=N$2)*$G$3:$G$29)</f>
        <v>45</v>
      </c>
      <c r="Q3" s="38" t="s">
        <v>161</v>
      </c>
      <c r="R3" s="38" t="s">
        <v>6</v>
      </c>
      <c r="S3" s="38" t="s">
        <v>14</v>
      </c>
      <c r="T3" s="39" t="s">
        <v>162</v>
      </c>
      <c r="U3" s="40">
        <v>0.41666666666666669</v>
      </c>
      <c r="V3" s="41">
        <v>87</v>
      </c>
      <c r="X3" s="6" t="s">
        <v>163</v>
      </c>
      <c r="Y3" s="6" t="str">
        <f t="array" ref="Y3">REPT("☆",SUM(IF(($S$3:$S$20=$X3)*(RIGHT($Q$3:$Q$20,1)=LEFT(Y$2,1)),1)))</f>
        <v>☆☆☆☆☆</v>
      </c>
      <c r="Z3" s="6" t="str">
        <f t="array" ref="Z3">REPT("☆",SUM(IF(($S$3:$S$20=$X3)*(RIGHT($Q$3:$Q$20,1)=LEFT(Z$2,1)),1)))</f>
        <v>☆☆☆☆☆☆☆</v>
      </c>
    </row>
    <row r="4" spans="2:26">
      <c r="B4" s="6">
        <v>2</v>
      </c>
      <c r="C4" s="7" t="s">
        <v>158</v>
      </c>
      <c r="D4" s="7">
        <v>102</v>
      </c>
      <c r="E4" s="36">
        <v>3</v>
      </c>
      <c r="F4" s="37">
        <v>357000</v>
      </c>
      <c r="G4" s="7">
        <v>23</v>
      </c>
      <c r="H4" s="6">
        <f t="shared" ref="H4:H29" si="0">QUOTIENT(G4,CHOOSE(RIGHT(D4,1),10,20,30))</f>
        <v>1</v>
      </c>
      <c r="I4">
        <f t="shared" ref="I4:I29" si="1">QUOTIENT(G4,CHOOSE(RIGHT(D4,1)*1,10,20,30))</f>
        <v>1</v>
      </c>
      <c r="K4" s="6" t="s">
        <v>164</v>
      </c>
      <c r="L4" s="6">
        <f t="array" ref="L4">MAX(($C$3:$C$29=$K4)*(VALUE(RIGHT($D$3:$D$29,1))=L$2)*$G$3:$G$29)</f>
        <v>71</v>
      </c>
      <c r="M4" s="6">
        <f t="array" ref="M4">MAX(($C$3:$C$29=$K4)*(VALUE(RIGHT($D$3:$D$29,1))=M$2)*$G$3:$G$29)</f>
        <v>59</v>
      </c>
      <c r="N4" s="6">
        <f t="array" ref="N4">MAX(($C$3:$C$29=$K4)*(VALUE(RIGHT($D$3:$D$29,1))=N$2)*$G$3:$G$29)</f>
        <v>93</v>
      </c>
      <c r="Q4" s="38" t="s">
        <v>165</v>
      </c>
      <c r="R4" s="38" t="s">
        <v>16</v>
      </c>
      <c r="S4" s="38" t="s">
        <v>14</v>
      </c>
      <c r="T4" s="39" t="s">
        <v>166</v>
      </c>
      <c r="U4" s="40">
        <v>0.4236111111111111</v>
      </c>
      <c r="V4" s="41">
        <v>69</v>
      </c>
      <c r="X4" s="6" t="s">
        <v>167</v>
      </c>
      <c r="Y4" s="6" t="str">
        <f t="array" ref="Y4">REPT("☆",SUM(IF(($S$3:$S$20=$X4)*(RIGHT($Q$3:$Q$20,1)=LEFT(Y$2,1)),1)))</f>
        <v>☆☆☆</v>
      </c>
      <c r="Z4" s="6" t="str">
        <f t="array" ref="Z4">REPT("☆",SUM(IF(($S$3:$S$20=$X4)*(RIGHT($Q$3:$Q$20,1)=LEFT(Z$2,1)),1)))</f>
        <v>☆☆☆</v>
      </c>
    </row>
    <row r="5" spans="2:26">
      <c r="B5" s="6">
        <v>3</v>
      </c>
      <c r="C5" s="7" t="s">
        <v>158</v>
      </c>
      <c r="D5" s="7">
        <v>103</v>
      </c>
      <c r="E5" s="36">
        <v>2</v>
      </c>
      <c r="F5" s="37">
        <v>357000</v>
      </c>
      <c r="G5" s="7">
        <v>45</v>
      </c>
      <c r="H5" s="6">
        <f t="shared" si="0"/>
        <v>1</v>
      </c>
      <c r="I5">
        <f t="shared" si="1"/>
        <v>1</v>
      </c>
      <c r="K5" s="6" t="s">
        <v>168</v>
      </c>
      <c r="L5" s="6">
        <f t="array" ref="L5">MAX(($C$3:$C$29=$K5)*(VALUE(RIGHT($D$3:$D$29,1))=L$2)*$G$3:$G$29)</f>
        <v>43</v>
      </c>
      <c r="M5" s="6">
        <f t="array" ref="M5">MAX(($C$3:$C$29=$K5)*(VALUE(RIGHT($D$3:$D$29,1))=M$2)*$G$3:$G$29)</f>
        <v>80</v>
      </c>
      <c r="N5" s="6">
        <f t="array" ref="N5">MAX(($C$3:$C$29=$K5)*(VALUE(RIGHT($D$3:$D$29,1))=N$2)*$G$3:$G$29)</f>
        <v>78</v>
      </c>
      <c r="Q5" s="38" t="s">
        <v>169</v>
      </c>
      <c r="R5" s="38" t="s">
        <v>18</v>
      </c>
      <c r="S5" s="38" t="s">
        <v>14</v>
      </c>
      <c r="T5" s="39" t="s">
        <v>170</v>
      </c>
      <c r="U5" s="40">
        <v>0.43055555555555503</v>
      </c>
      <c r="V5" s="41">
        <v>99</v>
      </c>
    </row>
    <row r="6" spans="2:26">
      <c r="B6" s="6">
        <v>4</v>
      </c>
      <c r="C6" s="7" t="s">
        <v>158</v>
      </c>
      <c r="D6" s="7">
        <v>201</v>
      </c>
      <c r="E6" s="36">
        <v>5</v>
      </c>
      <c r="F6" s="37">
        <v>375000</v>
      </c>
      <c r="G6" s="7">
        <v>34</v>
      </c>
      <c r="H6" s="6">
        <f t="shared" si="0"/>
        <v>3</v>
      </c>
      <c r="I6">
        <f t="shared" si="1"/>
        <v>3</v>
      </c>
      <c r="Q6" s="38" t="s">
        <v>171</v>
      </c>
      <c r="R6" s="38" t="s">
        <v>21</v>
      </c>
      <c r="S6" s="38" t="s">
        <v>22</v>
      </c>
      <c r="T6" s="39" t="s">
        <v>162</v>
      </c>
      <c r="U6" s="40">
        <v>0.4375</v>
      </c>
      <c r="V6" s="41">
        <v>46</v>
      </c>
      <c r="Y6" t="s">
        <v>191</v>
      </c>
    </row>
    <row r="7" spans="2:26">
      <c r="B7" s="6">
        <v>5</v>
      </c>
      <c r="C7" s="7" t="s">
        <v>158</v>
      </c>
      <c r="D7" s="7">
        <v>202</v>
      </c>
      <c r="E7" s="36">
        <v>4</v>
      </c>
      <c r="F7" s="37">
        <v>357000</v>
      </c>
      <c r="G7" s="7">
        <v>32</v>
      </c>
      <c r="H7" s="6">
        <f t="shared" si="0"/>
        <v>1</v>
      </c>
      <c r="I7">
        <f t="shared" si="1"/>
        <v>1</v>
      </c>
      <c r="K7" s="42" t="s">
        <v>190</v>
      </c>
      <c r="Q7" s="38" t="s">
        <v>172</v>
      </c>
      <c r="R7" s="38" t="s">
        <v>23</v>
      </c>
      <c r="S7" s="38" t="s">
        <v>14</v>
      </c>
      <c r="T7" s="39" t="s">
        <v>170</v>
      </c>
      <c r="U7" s="40">
        <v>0.44444444444444398</v>
      </c>
      <c r="V7" s="41">
        <v>79</v>
      </c>
      <c r="Y7" t="str">
        <f t="array" ref="Y7">REPT("☆",SUM(($S$3:$S$20=$X3)*(RIGHT($Q$3:$Q$20,1)=LEFT(Y$2,1))*1))</f>
        <v>☆☆☆☆☆</v>
      </c>
      <c r="Z7" t="str">
        <f t="array" ref="Z7">REPT("☆",SUM(($S$3:$S$20=$X3)*(RIGHT($Q$3:$Q$20,1)=LEFT(Z$2,1))*1))</f>
        <v>☆☆☆☆☆☆☆</v>
      </c>
    </row>
    <row r="8" spans="2:26">
      <c r="B8" s="6">
        <v>6</v>
      </c>
      <c r="C8" s="7" t="s">
        <v>158</v>
      </c>
      <c r="D8" s="7">
        <v>203</v>
      </c>
      <c r="E8" s="36">
        <v>4</v>
      </c>
      <c r="F8" s="37">
        <v>357000</v>
      </c>
      <c r="G8" s="7">
        <v>44</v>
      </c>
      <c r="H8" s="6">
        <f t="shared" si="0"/>
        <v>1</v>
      </c>
      <c r="I8">
        <f t="shared" si="1"/>
        <v>1</v>
      </c>
      <c r="K8">
        <f t="array" ref="K8">MAX(IF(($C$3:$C$29=$K3)*(VALUE(RIGHT($D$3:$D$29,1))=L$2),$G$3:$G$29))</f>
        <v>37</v>
      </c>
      <c r="Q8" s="38" t="s">
        <v>173</v>
      </c>
      <c r="R8" s="38" t="s">
        <v>7</v>
      </c>
      <c r="S8" s="38" t="s">
        <v>22</v>
      </c>
      <c r="T8" s="39" t="s">
        <v>174</v>
      </c>
      <c r="U8" s="40">
        <v>0.45138888888888901</v>
      </c>
      <c r="V8" s="41">
        <v>87</v>
      </c>
      <c r="Y8" t="str">
        <f t="array" ref="Y8">REPT("☆",SUM(($S$3:$S$20=$X4)*(RIGHT($Q$3:$Q$20,1)=LEFT(Y$2,1))*1))</f>
        <v>☆☆☆</v>
      </c>
      <c r="Z8" t="str">
        <f t="array" ref="Z8">REPT("☆",SUM(($S$3:$S$20=$X4)*(RIGHT($Q$3:$Q$20,1)=LEFT(Z$2,1))*1))</f>
        <v>☆☆☆</v>
      </c>
    </row>
    <row r="9" spans="2:26">
      <c r="B9" s="6">
        <v>7</v>
      </c>
      <c r="C9" s="7" t="s">
        <v>158</v>
      </c>
      <c r="D9" s="7">
        <v>301</v>
      </c>
      <c r="E9" s="36">
        <v>3</v>
      </c>
      <c r="F9" s="37">
        <v>357000</v>
      </c>
      <c r="G9" s="7">
        <v>37</v>
      </c>
      <c r="H9" s="6">
        <f t="shared" si="0"/>
        <v>3</v>
      </c>
      <c r="I9">
        <f t="shared" si="1"/>
        <v>3</v>
      </c>
      <c r="Q9" s="38" t="s">
        <v>175</v>
      </c>
      <c r="R9" s="38" t="s">
        <v>24</v>
      </c>
      <c r="S9" s="38" t="s">
        <v>14</v>
      </c>
      <c r="T9" s="39" t="s">
        <v>166</v>
      </c>
      <c r="U9" s="40">
        <v>0.45833333333333298</v>
      </c>
      <c r="V9" s="41">
        <v>92</v>
      </c>
    </row>
    <row r="10" spans="2:26">
      <c r="B10" s="6">
        <v>8</v>
      </c>
      <c r="C10" s="7" t="s">
        <v>158</v>
      </c>
      <c r="D10" s="7">
        <v>302</v>
      </c>
      <c r="E10" s="36">
        <v>2</v>
      </c>
      <c r="F10" s="37">
        <v>357000</v>
      </c>
      <c r="G10" s="7">
        <v>28</v>
      </c>
      <c r="H10" s="6">
        <f t="shared" si="0"/>
        <v>1</v>
      </c>
      <c r="I10">
        <f t="shared" si="1"/>
        <v>1</v>
      </c>
      <c r="Q10" s="38" t="s">
        <v>176</v>
      </c>
      <c r="R10" s="38" t="s">
        <v>9</v>
      </c>
      <c r="S10" s="38" t="s">
        <v>22</v>
      </c>
      <c r="T10" s="39" t="s">
        <v>162</v>
      </c>
      <c r="U10" s="40">
        <v>0.58333333333333337</v>
      </c>
      <c r="V10" s="41">
        <v>91</v>
      </c>
      <c r="Y10" t="s">
        <v>192</v>
      </c>
    </row>
    <row r="11" spans="2:26">
      <c r="B11" s="6">
        <v>9</v>
      </c>
      <c r="C11" s="7" t="s">
        <v>177</v>
      </c>
      <c r="D11" s="7">
        <v>303</v>
      </c>
      <c r="E11" s="36">
        <v>2</v>
      </c>
      <c r="F11" s="37">
        <v>357000</v>
      </c>
      <c r="G11" s="7">
        <v>12</v>
      </c>
      <c r="H11" s="6">
        <f t="shared" si="0"/>
        <v>0</v>
      </c>
      <c r="I11">
        <f t="shared" si="1"/>
        <v>0</v>
      </c>
      <c r="Q11" s="38" t="s">
        <v>178</v>
      </c>
      <c r="R11" s="38" t="s">
        <v>10</v>
      </c>
      <c r="S11" s="38" t="s">
        <v>22</v>
      </c>
      <c r="T11" s="39" t="s">
        <v>166</v>
      </c>
      <c r="U11" s="40">
        <v>0.625</v>
      </c>
      <c r="V11" s="41">
        <v>85</v>
      </c>
      <c r="Y11" t="str">
        <f t="array" ref="Y11">REPT("☆",COUNT(IF(($S$3:$S$20=$X3)*(RIGHT($Q$3:$Q$20,1)=LEFT(Y$2,1)),$V$3:$V$20)))</f>
        <v>☆☆☆☆☆</v>
      </c>
      <c r="Z11" t="str">
        <f t="array" ref="Z11">REPT("☆",COUNT(IF(($S$3:$S$20=$X3)*(RIGHT($Q$3:$Q$20,1)=LEFT(Z$2,1)),$V$3:$V$20)))</f>
        <v>☆☆☆☆☆☆☆</v>
      </c>
    </row>
    <row r="12" spans="2:26">
      <c r="B12" s="6">
        <v>10</v>
      </c>
      <c r="C12" s="7" t="s">
        <v>177</v>
      </c>
      <c r="D12" s="7">
        <v>401</v>
      </c>
      <c r="E12" s="36">
        <v>4</v>
      </c>
      <c r="F12" s="37">
        <v>357000</v>
      </c>
      <c r="G12" s="7">
        <v>5</v>
      </c>
      <c r="H12" s="6">
        <f t="shared" si="0"/>
        <v>0</v>
      </c>
      <c r="I12">
        <f t="shared" si="1"/>
        <v>0</v>
      </c>
      <c r="Q12" s="38" t="s">
        <v>179</v>
      </c>
      <c r="R12" s="38" t="s">
        <v>12</v>
      </c>
      <c r="S12" s="38" t="s">
        <v>14</v>
      </c>
      <c r="T12" s="39" t="s">
        <v>170</v>
      </c>
      <c r="U12" s="40">
        <v>0.66666666666666696</v>
      </c>
      <c r="V12" s="41">
        <v>76</v>
      </c>
      <c r="Y12" t="str">
        <f t="array" ref="Y12">REPT("☆",COUNT(IF(($S$3:$S$20=$X4)*(RIGHT($Q$3:$Q$20,1)=LEFT(Y$2,1)),$V$3:$V$20)))</f>
        <v>☆☆☆</v>
      </c>
      <c r="Z12" t="str">
        <f t="array" ref="Z12">REPT("☆",COUNT(IF(($S$3:$S$20=$X4)*(RIGHT($Q$3:$Q$20,1)=LEFT(Z$2,1)),$V$3:$V$20)))</f>
        <v>☆☆☆</v>
      </c>
    </row>
    <row r="13" spans="2:26">
      <c r="B13" s="6">
        <v>11</v>
      </c>
      <c r="C13" s="7" t="s">
        <v>177</v>
      </c>
      <c r="D13" s="7">
        <v>402</v>
      </c>
      <c r="E13" s="36">
        <v>3</v>
      </c>
      <c r="F13" s="37">
        <v>357000</v>
      </c>
      <c r="G13" s="7">
        <v>59</v>
      </c>
      <c r="H13" s="6">
        <f t="shared" si="0"/>
        <v>2</v>
      </c>
      <c r="I13">
        <f t="shared" si="1"/>
        <v>2</v>
      </c>
      <c r="Q13" s="38" t="s">
        <v>180</v>
      </c>
      <c r="R13" s="38" t="s">
        <v>25</v>
      </c>
      <c r="S13" s="38" t="s">
        <v>14</v>
      </c>
      <c r="T13" s="39" t="s">
        <v>170</v>
      </c>
      <c r="U13" s="40">
        <v>0.70833333333333304</v>
      </c>
      <c r="V13" s="41">
        <v>86</v>
      </c>
    </row>
    <row r="14" spans="2:26">
      <c r="B14" s="6">
        <v>12</v>
      </c>
      <c r="C14" s="7" t="s">
        <v>177</v>
      </c>
      <c r="D14" s="7">
        <v>403</v>
      </c>
      <c r="E14" s="36">
        <v>2</v>
      </c>
      <c r="F14" s="37">
        <v>357000</v>
      </c>
      <c r="G14" s="7">
        <v>63</v>
      </c>
      <c r="H14" s="6">
        <f t="shared" si="0"/>
        <v>2</v>
      </c>
      <c r="I14">
        <f t="shared" si="1"/>
        <v>2</v>
      </c>
      <c r="Q14" s="38" t="s">
        <v>181</v>
      </c>
      <c r="R14" s="38" t="s">
        <v>8</v>
      </c>
      <c r="S14" s="38" t="s">
        <v>14</v>
      </c>
      <c r="T14" s="39" t="s">
        <v>174</v>
      </c>
      <c r="U14" s="40">
        <v>0.75</v>
      </c>
      <c r="V14" s="41">
        <v>46</v>
      </c>
    </row>
    <row r="15" spans="2:26">
      <c r="B15" s="6">
        <v>13</v>
      </c>
      <c r="C15" s="7" t="s">
        <v>177</v>
      </c>
      <c r="D15" s="7">
        <v>103</v>
      </c>
      <c r="E15" s="36">
        <v>5</v>
      </c>
      <c r="F15" s="37">
        <v>357000</v>
      </c>
      <c r="G15" s="7">
        <v>72</v>
      </c>
      <c r="H15" s="6">
        <f t="shared" si="0"/>
        <v>2</v>
      </c>
      <c r="I15">
        <f t="shared" si="1"/>
        <v>2</v>
      </c>
      <c r="Q15" s="38" t="s">
        <v>182</v>
      </c>
      <c r="R15" s="38" t="s">
        <v>26</v>
      </c>
      <c r="S15" s="38" t="s">
        <v>22</v>
      </c>
      <c r="T15" s="39" t="s">
        <v>166</v>
      </c>
      <c r="U15" s="40">
        <v>0.79166666666666696</v>
      </c>
      <c r="V15" s="41">
        <v>67</v>
      </c>
    </row>
    <row r="16" spans="2:26">
      <c r="B16" s="6">
        <v>14</v>
      </c>
      <c r="C16" s="7" t="s">
        <v>177</v>
      </c>
      <c r="D16" s="7">
        <v>201</v>
      </c>
      <c r="E16" s="36">
        <v>3</v>
      </c>
      <c r="F16" s="37">
        <v>357000</v>
      </c>
      <c r="G16" s="7">
        <v>34</v>
      </c>
      <c r="H16" s="6">
        <f t="shared" si="0"/>
        <v>3</v>
      </c>
      <c r="I16">
        <f t="shared" si="1"/>
        <v>3</v>
      </c>
      <c r="Q16" s="38" t="s">
        <v>183</v>
      </c>
      <c r="R16" s="38" t="s">
        <v>27</v>
      </c>
      <c r="S16" s="38" t="s">
        <v>14</v>
      </c>
      <c r="T16" s="39" t="s">
        <v>162</v>
      </c>
      <c r="U16" s="40">
        <v>0.83333333333333304</v>
      </c>
      <c r="V16" s="41">
        <v>87</v>
      </c>
    </row>
    <row r="17" spans="2:22">
      <c r="B17" s="6">
        <v>15</v>
      </c>
      <c r="C17" s="7" t="s">
        <v>177</v>
      </c>
      <c r="D17" s="7">
        <v>202</v>
      </c>
      <c r="E17" s="36">
        <v>4</v>
      </c>
      <c r="F17" s="37">
        <v>357000</v>
      </c>
      <c r="G17" s="7">
        <v>57</v>
      </c>
      <c r="H17" s="6">
        <f t="shared" si="0"/>
        <v>2</v>
      </c>
      <c r="I17">
        <f t="shared" si="1"/>
        <v>2</v>
      </c>
      <c r="Q17" s="38" t="s">
        <v>184</v>
      </c>
      <c r="R17" s="38" t="s">
        <v>3</v>
      </c>
      <c r="S17" s="38" t="s">
        <v>14</v>
      </c>
      <c r="T17" s="39" t="s">
        <v>166</v>
      </c>
      <c r="U17" s="40">
        <v>0.45138888888888901</v>
      </c>
      <c r="V17" s="41">
        <v>98</v>
      </c>
    </row>
    <row r="18" spans="2:22">
      <c r="B18" s="6">
        <v>16</v>
      </c>
      <c r="C18" s="7" t="s">
        <v>177</v>
      </c>
      <c r="D18" s="7">
        <v>203</v>
      </c>
      <c r="E18" s="36">
        <v>4</v>
      </c>
      <c r="F18" s="37">
        <v>357000</v>
      </c>
      <c r="G18" s="7">
        <v>93</v>
      </c>
      <c r="H18" s="6">
        <f t="shared" si="0"/>
        <v>3</v>
      </c>
      <c r="I18">
        <f t="shared" si="1"/>
        <v>3</v>
      </c>
      <c r="Q18" s="38" t="s">
        <v>185</v>
      </c>
      <c r="R18" s="38" t="s">
        <v>5</v>
      </c>
      <c r="S18" s="38" t="s">
        <v>14</v>
      </c>
      <c r="T18" s="39" t="s">
        <v>170</v>
      </c>
      <c r="U18" s="40">
        <v>0.45833333333333298</v>
      </c>
      <c r="V18" s="41">
        <v>15</v>
      </c>
    </row>
    <row r="19" spans="2:22">
      <c r="B19" s="6">
        <v>17</v>
      </c>
      <c r="C19" s="7" t="s">
        <v>177</v>
      </c>
      <c r="D19" s="7">
        <v>301</v>
      </c>
      <c r="E19" s="36">
        <v>4</v>
      </c>
      <c r="F19" s="37">
        <v>357000</v>
      </c>
      <c r="G19" s="7">
        <v>71</v>
      </c>
      <c r="H19" s="6">
        <f t="shared" si="0"/>
        <v>7</v>
      </c>
      <c r="I19">
        <f t="shared" si="1"/>
        <v>7</v>
      </c>
      <c r="Q19" s="38" t="s">
        <v>186</v>
      </c>
      <c r="R19" s="38" t="s">
        <v>28</v>
      </c>
      <c r="S19" s="38" t="s">
        <v>14</v>
      </c>
      <c r="T19" s="39" t="s">
        <v>166</v>
      </c>
      <c r="U19" s="40">
        <v>0.46527777777777801</v>
      </c>
      <c r="V19" s="41">
        <v>76</v>
      </c>
    </row>
    <row r="20" spans="2:22">
      <c r="B20" s="6">
        <v>18</v>
      </c>
      <c r="C20" s="7" t="s">
        <v>187</v>
      </c>
      <c r="D20" s="7">
        <v>302</v>
      </c>
      <c r="E20" s="36">
        <v>4</v>
      </c>
      <c r="F20" s="37">
        <v>357000</v>
      </c>
      <c r="G20" s="7">
        <v>55</v>
      </c>
      <c r="H20" s="6">
        <f t="shared" si="0"/>
        <v>2</v>
      </c>
      <c r="I20">
        <f t="shared" si="1"/>
        <v>2</v>
      </c>
      <c r="Q20" s="38" t="s">
        <v>188</v>
      </c>
      <c r="R20" s="38" t="s">
        <v>29</v>
      </c>
      <c r="S20" s="38" t="s">
        <v>22</v>
      </c>
      <c r="T20" s="39" t="s">
        <v>170</v>
      </c>
      <c r="U20" s="40">
        <v>0.50694444444444497</v>
      </c>
      <c r="V20" s="38">
        <v>58</v>
      </c>
    </row>
    <row r="21" spans="2:22">
      <c r="B21" s="6">
        <v>19</v>
      </c>
      <c r="C21" s="7" t="s">
        <v>187</v>
      </c>
      <c r="D21" s="7">
        <v>303</v>
      </c>
      <c r="E21" s="36">
        <v>4</v>
      </c>
      <c r="F21" s="37">
        <v>390000</v>
      </c>
      <c r="G21" s="7">
        <v>78</v>
      </c>
      <c r="H21" s="6">
        <f t="shared" si="0"/>
        <v>2</v>
      </c>
      <c r="I21">
        <f t="shared" si="1"/>
        <v>2</v>
      </c>
    </row>
    <row r="22" spans="2:22">
      <c r="B22" s="6">
        <v>20</v>
      </c>
      <c r="C22" s="7" t="s">
        <v>187</v>
      </c>
      <c r="D22" s="7">
        <v>401</v>
      </c>
      <c r="E22" s="36">
        <v>5</v>
      </c>
      <c r="F22" s="37">
        <v>390000</v>
      </c>
      <c r="G22" s="7">
        <v>32</v>
      </c>
      <c r="H22" s="6">
        <f t="shared" si="0"/>
        <v>3</v>
      </c>
      <c r="I22">
        <f t="shared" si="1"/>
        <v>3</v>
      </c>
    </row>
    <row r="23" spans="2:22">
      <c r="B23" s="6">
        <v>21</v>
      </c>
      <c r="C23" s="7" t="s">
        <v>187</v>
      </c>
      <c r="D23" s="7">
        <v>302</v>
      </c>
      <c r="E23" s="36">
        <v>4</v>
      </c>
      <c r="F23" s="37">
        <v>375000</v>
      </c>
      <c r="G23" s="7">
        <v>12</v>
      </c>
      <c r="H23" s="6">
        <f t="shared" si="0"/>
        <v>0</v>
      </c>
      <c r="I23">
        <f t="shared" si="1"/>
        <v>0</v>
      </c>
    </row>
    <row r="24" spans="2:22">
      <c r="B24" s="6">
        <v>22</v>
      </c>
      <c r="C24" s="7" t="s">
        <v>187</v>
      </c>
      <c r="D24" s="7">
        <v>303</v>
      </c>
      <c r="E24" s="36">
        <v>4</v>
      </c>
      <c r="F24" s="37">
        <v>390000</v>
      </c>
      <c r="G24" s="7">
        <v>15</v>
      </c>
      <c r="H24" s="6">
        <f t="shared" si="0"/>
        <v>0</v>
      </c>
      <c r="I24">
        <f t="shared" si="1"/>
        <v>0</v>
      </c>
    </row>
    <row r="25" spans="2:22">
      <c r="B25" s="6">
        <v>23</v>
      </c>
      <c r="C25" s="7" t="s">
        <v>187</v>
      </c>
      <c r="D25" s="7">
        <v>401</v>
      </c>
      <c r="E25" s="36">
        <v>3</v>
      </c>
      <c r="F25" s="37">
        <v>390000</v>
      </c>
      <c r="G25" s="7">
        <v>6</v>
      </c>
      <c r="H25" s="6">
        <f t="shared" si="0"/>
        <v>0</v>
      </c>
      <c r="I25">
        <f t="shared" si="1"/>
        <v>0</v>
      </c>
    </row>
    <row r="26" spans="2:22">
      <c r="B26" s="6">
        <v>24</v>
      </c>
      <c r="C26" s="7" t="s">
        <v>187</v>
      </c>
      <c r="D26" s="7">
        <v>402</v>
      </c>
      <c r="E26" s="36">
        <v>5</v>
      </c>
      <c r="F26" s="37">
        <v>390000</v>
      </c>
      <c r="G26" s="7">
        <v>80</v>
      </c>
      <c r="H26" s="6">
        <f t="shared" si="0"/>
        <v>4</v>
      </c>
      <c r="I26">
        <f t="shared" si="1"/>
        <v>4</v>
      </c>
    </row>
    <row r="27" spans="2:22">
      <c r="B27" s="6">
        <v>25</v>
      </c>
      <c r="C27" s="7" t="s">
        <v>187</v>
      </c>
      <c r="D27" s="7">
        <v>403</v>
      </c>
      <c r="E27" s="36">
        <v>3</v>
      </c>
      <c r="F27" s="37">
        <v>390000</v>
      </c>
      <c r="G27" s="7">
        <v>48</v>
      </c>
      <c r="H27" s="6">
        <f t="shared" si="0"/>
        <v>1</v>
      </c>
      <c r="I27">
        <f t="shared" si="1"/>
        <v>1</v>
      </c>
    </row>
    <row r="28" spans="2:22">
      <c r="B28" s="6">
        <v>26</v>
      </c>
      <c r="C28" s="7" t="s">
        <v>187</v>
      </c>
      <c r="D28" s="7">
        <v>201</v>
      </c>
      <c r="E28" s="36">
        <v>3</v>
      </c>
      <c r="F28" s="37">
        <v>390000</v>
      </c>
      <c r="G28" s="7">
        <v>43</v>
      </c>
      <c r="H28" s="6">
        <f t="shared" si="0"/>
        <v>4</v>
      </c>
      <c r="I28">
        <f t="shared" si="1"/>
        <v>4</v>
      </c>
    </row>
    <row r="29" spans="2:22">
      <c r="B29" s="6">
        <v>27</v>
      </c>
      <c r="C29" s="7" t="s">
        <v>187</v>
      </c>
      <c r="D29" s="7">
        <v>202</v>
      </c>
      <c r="E29" s="36">
        <v>2</v>
      </c>
      <c r="F29" s="37">
        <v>390000</v>
      </c>
      <c r="G29" s="7">
        <v>71</v>
      </c>
      <c r="H29" s="6">
        <f t="shared" si="0"/>
        <v>3</v>
      </c>
      <c r="I29">
        <f t="shared" si="1"/>
        <v>3</v>
      </c>
    </row>
    <row r="34" spans="2:5">
      <c r="B34" t="s">
        <v>193</v>
      </c>
    </row>
    <row r="35" spans="2:5">
      <c r="B35" s="6" t="s">
        <v>194</v>
      </c>
      <c r="C35" s="6" t="s">
        <v>195</v>
      </c>
      <c r="D35" s="6" t="s">
        <v>196</v>
      </c>
      <c r="E35" s="6" t="s">
        <v>197</v>
      </c>
    </row>
    <row r="36" spans="2:5">
      <c r="B36" s="6" t="s">
        <v>198</v>
      </c>
      <c r="C36" s="6" t="s">
        <v>199</v>
      </c>
      <c r="D36" s="6" t="s">
        <v>200</v>
      </c>
      <c r="E36" s="1">
        <v>8.6999999999999993</v>
      </c>
    </row>
    <row r="37" spans="2:5">
      <c r="B37" s="6" t="s">
        <v>201</v>
      </c>
      <c r="C37" s="6" t="s">
        <v>202</v>
      </c>
      <c r="D37" s="6" t="s">
        <v>203</v>
      </c>
      <c r="E37" s="1">
        <v>5.4</v>
      </c>
    </row>
    <row r="38" spans="2:5">
      <c r="B38" s="6" t="s">
        <v>204</v>
      </c>
      <c r="C38" s="6" t="s">
        <v>205</v>
      </c>
      <c r="D38" s="6" t="s">
        <v>203</v>
      </c>
      <c r="E38" s="1">
        <v>9.5500000000000007</v>
      </c>
    </row>
    <row r="39" spans="2:5">
      <c r="B39" s="6" t="s">
        <v>206</v>
      </c>
      <c r="C39" s="6" t="s">
        <v>207</v>
      </c>
      <c r="D39" s="6" t="s">
        <v>208</v>
      </c>
      <c r="E39" s="1">
        <v>9.5500000000000007</v>
      </c>
    </row>
    <row r="40" spans="2:5">
      <c r="B40" s="6" t="s">
        <v>209</v>
      </c>
      <c r="C40" s="6" t="s">
        <v>210</v>
      </c>
      <c r="D40" s="6" t="s">
        <v>208</v>
      </c>
      <c r="E40" s="1">
        <v>8.85</v>
      </c>
    </row>
    <row r="41" spans="2:5">
      <c r="B41" s="6" t="s">
        <v>211</v>
      </c>
      <c r="C41" s="6" t="s">
        <v>212</v>
      </c>
      <c r="D41" s="6" t="s">
        <v>200</v>
      </c>
      <c r="E41" s="1">
        <v>9.91</v>
      </c>
    </row>
    <row r="42" spans="2:5">
      <c r="B42" s="6" t="s">
        <v>213</v>
      </c>
      <c r="C42" s="6" t="s">
        <v>214</v>
      </c>
      <c r="D42" s="6" t="s">
        <v>200</v>
      </c>
      <c r="E42" s="1">
        <v>7.65</v>
      </c>
    </row>
    <row r="43" spans="2:5">
      <c r="B43" s="6" t="s">
        <v>215</v>
      </c>
      <c r="C43" s="6" t="s">
        <v>216</v>
      </c>
      <c r="D43" s="6" t="s">
        <v>208</v>
      </c>
      <c r="E43" s="1">
        <v>6.5</v>
      </c>
    </row>
    <row r="44" spans="2:5">
      <c r="B44" s="6" t="s">
        <v>217</v>
      </c>
      <c r="C44" s="6" t="s">
        <v>218</v>
      </c>
      <c r="D44" s="6" t="s">
        <v>208</v>
      </c>
      <c r="E44" s="1">
        <v>7.8</v>
      </c>
    </row>
    <row r="45" spans="2:5">
      <c r="B45" s="6" t="s">
        <v>219</v>
      </c>
      <c r="C45" s="6" t="s">
        <v>220</v>
      </c>
      <c r="D45" s="6" t="s">
        <v>208</v>
      </c>
      <c r="E45" s="1">
        <v>8.8119999999999994</v>
      </c>
    </row>
    <row r="47" spans="2:5">
      <c r="C47" s="43" t="s">
        <v>221</v>
      </c>
      <c r="E47" t="s">
        <v>222</v>
      </c>
    </row>
    <row r="48" spans="2:5">
      <c r="C48" s="1" t="str">
        <f t="array" ref="C48">INDEX(C36:C45,MATCH(MAX(E36:E45),E36:E45,0),1)</f>
        <v>반지의 제국</v>
      </c>
      <c r="E48" t="str">
        <f t="array" ref="E48">INDEX(C36:C45,MATCH(MAX((D36:D45="15세")*(E36:E45)),(E36:E45)*(D36:D45="15세"),0),1)</f>
        <v>태양</v>
      </c>
    </row>
    <row r="50" spans="3:5">
      <c r="C50" s="44"/>
      <c r="E50" t="s">
        <v>223</v>
      </c>
    </row>
    <row r="51" spans="3:5">
      <c r="E51" t="str">
        <f>INDEX(C36:C45,MATCH(LARGE(E36:E45,1),E36:E45,0),1)</f>
        <v>반지의 제국</v>
      </c>
    </row>
    <row r="53" spans="3:5" ht="25.5" customHeight="1"/>
  </sheetData>
  <phoneticPr fontId="1" type="noConversion"/>
  <conditionalFormatting sqref="V20 Q3:T20">
    <cfRule type="expression" dxfId="0" priority="1">
      <formula>OR(YEAR($T3)=2001,YEAR($T3)=2003,MONTH($T3)=4)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G11"/>
  <sheetViews>
    <sheetView workbookViewId="0">
      <selection activeCell="E29" sqref="E29"/>
    </sheetView>
  </sheetViews>
  <sheetFormatPr defaultRowHeight="16.5"/>
  <cols>
    <col min="2" max="2" width="7.5" customWidth="1"/>
    <col min="3" max="3" width="12.125" customWidth="1"/>
    <col min="4" max="7" width="14" customWidth="1"/>
    <col min="8" max="8" width="15.25" customWidth="1"/>
    <col min="9" max="10" width="14" customWidth="1"/>
    <col min="11" max="11" width="15.25" customWidth="1"/>
    <col min="12" max="16" width="12.5" bestFit="1" customWidth="1"/>
    <col min="17" max="18" width="17.375" bestFit="1" customWidth="1"/>
  </cols>
  <sheetData>
    <row r="4" spans="2:7">
      <c r="D4" s="45" t="s">
        <v>224</v>
      </c>
    </row>
    <row r="5" spans="2:7">
      <c r="B5" s="45" t="s">
        <v>225</v>
      </c>
      <c r="C5" s="45" t="s">
        <v>232</v>
      </c>
      <c r="D5" t="s">
        <v>226</v>
      </c>
      <c r="E5" t="s">
        <v>230</v>
      </c>
      <c r="F5" t="s">
        <v>228</v>
      </c>
      <c r="G5" t="s">
        <v>231</v>
      </c>
    </row>
    <row r="6" spans="2:7">
      <c r="B6" t="s">
        <v>229</v>
      </c>
      <c r="C6" t="s">
        <v>318</v>
      </c>
      <c r="D6" s="55"/>
      <c r="E6" s="55"/>
      <c r="F6" s="55">
        <v>4095000</v>
      </c>
      <c r="G6" s="55">
        <v>5004000</v>
      </c>
    </row>
    <row r="7" spans="2:7">
      <c r="C7" t="s">
        <v>321</v>
      </c>
      <c r="D7" s="55"/>
      <c r="E7" s="55"/>
      <c r="F7" s="55">
        <v>409500</v>
      </c>
      <c r="G7" s="55">
        <v>232650</v>
      </c>
    </row>
    <row r="8" spans="2:7">
      <c r="B8" t="s">
        <v>227</v>
      </c>
      <c r="C8" t="s">
        <v>318</v>
      </c>
      <c r="D8" s="55">
        <v>7740000</v>
      </c>
      <c r="E8" s="55">
        <v>3294000</v>
      </c>
      <c r="F8" s="55"/>
      <c r="G8" s="55"/>
    </row>
    <row r="9" spans="2:7">
      <c r="C9" t="s">
        <v>321</v>
      </c>
      <c r="D9" s="55">
        <v>644850</v>
      </c>
      <c r="E9" s="55">
        <v>329400</v>
      </c>
      <c r="F9" s="55"/>
      <c r="G9" s="55"/>
    </row>
    <row r="10" spans="2:7">
      <c r="B10" t="s">
        <v>319</v>
      </c>
      <c r="D10" s="55">
        <v>7740000</v>
      </c>
      <c r="E10" s="55">
        <v>3294000</v>
      </c>
      <c r="F10" s="55">
        <v>4095000</v>
      </c>
      <c r="G10" s="55">
        <v>5004000</v>
      </c>
    </row>
    <row r="11" spans="2:7">
      <c r="B11" t="s">
        <v>320</v>
      </c>
      <c r="D11" s="55">
        <v>644850</v>
      </c>
      <c r="E11" s="55">
        <v>329400</v>
      </c>
      <c r="F11" s="55">
        <v>409500</v>
      </c>
      <c r="G11" s="55">
        <v>232650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B1:H52"/>
  <sheetViews>
    <sheetView topLeftCell="A39" workbookViewId="0">
      <selection activeCell="G72" sqref="G72"/>
    </sheetView>
  </sheetViews>
  <sheetFormatPr defaultRowHeight="16.5"/>
  <sheetData>
    <row r="1" spans="2:8">
      <c r="B1" t="s">
        <v>233</v>
      </c>
    </row>
    <row r="2" spans="2:8">
      <c r="B2" s="6" t="s">
        <v>234</v>
      </c>
      <c r="C2" s="46" t="s">
        <v>235</v>
      </c>
      <c r="D2" s="46" t="s">
        <v>236</v>
      </c>
      <c r="E2" s="46" t="s">
        <v>237</v>
      </c>
      <c r="F2" s="46" t="s">
        <v>238</v>
      </c>
      <c r="G2" s="46" t="s">
        <v>239</v>
      </c>
      <c r="H2" s="46" t="s">
        <v>240</v>
      </c>
    </row>
    <row r="3" spans="2:8">
      <c r="B3" s="1">
        <v>1</v>
      </c>
      <c r="C3" s="47" t="s">
        <v>298</v>
      </c>
      <c r="D3" s="47" t="s">
        <v>299</v>
      </c>
      <c r="E3" s="47" t="s">
        <v>255</v>
      </c>
      <c r="F3" s="48">
        <v>98</v>
      </c>
      <c r="G3" s="48">
        <v>87</v>
      </c>
      <c r="H3" s="48">
        <v>50</v>
      </c>
    </row>
    <row r="4" spans="2:8" hidden="1">
      <c r="B4" s="1">
        <v>2</v>
      </c>
      <c r="C4" s="47" t="s">
        <v>296</v>
      </c>
      <c r="D4" s="47" t="s">
        <v>297</v>
      </c>
      <c r="E4" s="47" t="s">
        <v>252</v>
      </c>
      <c r="F4" s="48">
        <v>80</v>
      </c>
      <c r="G4" s="48">
        <v>90</v>
      </c>
      <c r="H4" s="48">
        <v>98</v>
      </c>
    </row>
    <row r="5" spans="2:8">
      <c r="B5" s="1">
        <v>3</v>
      </c>
      <c r="C5" s="47" t="s">
        <v>294</v>
      </c>
      <c r="D5" s="47" t="s">
        <v>295</v>
      </c>
      <c r="E5" s="47" t="s">
        <v>265</v>
      </c>
      <c r="F5" s="48">
        <v>100</v>
      </c>
      <c r="G5" s="48">
        <v>99</v>
      </c>
      <c r="H5" s="48">
        <v>40</v>
      </c>
    </row>
    <row r="6" spans="2:8">
      <c r="B6" s="1">
        <v>4</v>
      </c>
      <c r="C6" s="47" t="s">
        <v>292</v>
      </c>
      <c r="D6" s="47" t="s">
        <v>293</v>
      </c>
      <c r="E6" s="47" t="s">
        <v>258</v>
      </c>
      <c r="F6" s="48">
        <v>97</v>
      </c>
      <c r="G6" s="48">
        <v>91</v>
      </c>
      <c r="H6" s="48">
        <v>94</v>
      </c>
    </row>
    <row r="7" spans="2:8" hidden="1">
      <c r="B7" s="1">
        <v>5</v>
      </c>
      <c r="C7" s="47" t="s">
        <v>290</v>
      </c>
      <c r="D7" s="47" t="s">
        <v>291</v>
      </c>
      <c r="E7" s="47" t="s">
        <v>265</v>
      </c>
      <c r="F7" s="48">
        <v>79</v>
      </c>
      <c r="G7" s="48">
        <v>81</v>
      </c>
      <c r="H7" s="48">
        <v>89</v>
      </c>
    </row>
    <row r="8" spans="2:8" hidden="1">
      <c r="B8" s="1">
        <v>6</v>
      </c>
      <c r="C8" s="47" t="s">
        <v>288</v>
      </c>
      <c r="D8" s="47" t="s">
        <v>289</v>
      </c>
      <c r="E8" s="47" t="s">
        <v>249</v>
      </c>
      <c r="F8" s="48">
        <v>90</v>
      </c>
      <c r="G8" s="48">
        <v>99</v>
      </c>
      <c r="H8" s="48">
        <v>98</v>
      </c>
    </row>
    <row r="9" spans="2:8" hidden="1">
      <c r="B9" s="1">
        <v>7</v>
      </c>
      <c r="C9" s="47" t="s">
        <v>286</v>
      </c>
      <c r="D9" s="47" t="s">
        <v>287</v>
      </c>
      <c r="E9" s="47" t="s">
        <v>258</v>
      </c>
      <c r="F9" s="48">
        <v>87</v>
      </c>
      <c r="G9" s="48">
        <v>89</v>
      </c>
      <c r="H9" s="48">
        <v>98</v>
      </c>
    </row>
    <row r="10" spans="2:8">
      <c r="B10" s="1">
        <v>8</v>
      </c>
      <c r="C10" s="47" t="s">
        <v>284</v>
      </c>
      <c r="D10" s="47" t="s">
        <v>285</v>
      </c>
      <c r="E10" s="47" t="s">
        <v>255</v>
      </c>
      <c r="F10" s="48">
        <v>98</v>
      </c>
      <c r="G10" s="48">
        <v>86</v>
      </c>
      <c r="H10" s="48">
        <v>87</v>
      </c>
    </row>
    <row r="11" spans="2:8" hidden="1">
      <c r="B11" s="1">
        <v>9</v>
      </c>
      <c r="C11" s="47" t="s">
        <v>282</v>
      </c>
      <c r="D11" s="47" t="s">
        <v>283</v>
      </c>
      <c r="E11" s="47" t="s">
        <v>255</v>
      </c>
      <c r="F11" s="48">
        <v>87</v>
      </c>
      <c r="G11" s="48">
        <v>80</v>
      </c>
      <c r="H11" s="48">
        <v>90</v>
      </c>
    </row>
    <row r="12" spans="2:8" hidden="1">
      <c r="B12" s="1">
        <v>10</v>
      </c>
      <c r="C12" s="47" t="s">
        <v>280</v>
      </c>
      <c r="D12" s="47" t="s">
        <v>281</v>
      </c>
      <c r="E12" s="47" t="s">
        <v>265</v>
      </c>
      <c r="F12" s="48">
        <v>90</v>
      </c>
      <c r="G12" s="48">
        <v>98</v>
      </c>
      <c r="H12" s="48">
        <v>64</v>
      </c>
    </row>
    <row r="13" spans="2:8" hidden="1">
      <c r="B13" s="1">
        <v>11</v>
      </c>
      <c r="C13" s="47" t="s">
        <v>278</v>
      </c>
      <c r="D13" s="47" t="s">
        <v>279</v>
      </c>
      <c r="E13" s="47" t="s">
        <v>265</v>
      </c>
      <c r="F13" s="48">
        <v>99</v>
      </c>
      <c r="G13" s="48">
        <v>90</v>
      </c>
      <c r="H13" s="48">
        <v>88</v>
      </c>
    </row>
    <row r="14" spans="2:8" hidden="1">
      <c r="B14" s="1">
        <v>12</v>
      </c>
      <c r="C14" s="47" t="s">
        <v>276</v>
      </c>
      <c r="D14" s="47" t="s">
        <v>277</v>
      </c>
      <c r="E14" s="47" t="s">
        <v>255</v>
      </c>
      <c r="F14" s="48">
        <v>91</v>
      </c>
      <c r="G14" s="48">
        <v>94</v>
      </c>
      <c r="H14" s="48">
        <v>81</v>
      </c>
    </row>
    <row r="15" spans="2:8" hidden="1">
      <c r="B15" s="1">
        <v>13</v>
      </c>
      <c r="C15" s="47" t="s">
        <v>274</v>
      </c>
      <c r="D15" s="47" t="s">
        <v>275</v>
      </c>
      <c r="E15" s="47" t="s">
        <v>252</v>
      </c>
      <c r="F15" s="48">
        <v>81</v>
      </c>
      <c r="G15" s="48">
        <v>89</v>
      </c>
      <c r="H15" s="48">
        <v>90</v>
      </c>
    </row>
    <row r="16" spans="2:8" hidden="1">
      <c r="B16" s="1">
        <v>14</v>
      </c>
      <c r="C16" s="47" t="s">
        <v>272</v>
      </c>
      <c r="D16" s="47" t="s">
        <v>273</v>
      </c>
      <c r="E16" s="47" t="s">
        <v>252</v>
      </c>
      <c r="F16" s="48">
        <v>99</v>
      </c>
      <c r="G16" s="48">
        <v>98</v>
      </c>
      <c r="H16" s="48">
        <v>94</v>
      </c>
    </row>
    <row r="17" spans="2:8" hidden="1">
      <c r="B17" s="1">
        <v>15</v>
      </c>
      <c r="C17" s="47" t="s">
        <v>270</v>
      </c>
      <c r="D17" s="47" t="s">
        <v>271</v>
      </c>
      <c r="E17" s="47" t="s">
        <v>265</v>
      </c>
      <c r="F17" s="48">
        <v>89</v>
      </c>
      <c r="G17" s="48">
        <v>98</v>
      </c>
      <c r="H17" s="48">
        <v>97</v>
      </c>
    </row>
    <row r="18" spans="2:8" hidden="1">
      <c r="B18" s="1">
        <v>16</v>
      </c>
      <c r="C18" s="47" t="s">
        <v>268</v>
      </c>
      <c r="D18" s="47" t="s">
        <v>269</v>
      </c>
      <c r="E18" s="47" t="s">
        <v>249</v>
      </c>
      <c r="F18" s="48">
        <v>86</v>
      </c>
      <c r="G18" s="48">
        <v>87</v>
      </c>
      <c r="H18" s="48">
        <v>81</v>
      </c>
    </row>
    <row r="19" spans="2:8" hidden="1">
      <c r="B19" s="1">
        <v>17</v>
      </c>
      <c r="C19" s="47" t="s">
        <v>266</v>
      </c>
      <c r="D19" s="47" t="s">
        <v>267</v>
      </c>
      <c r="E19" s="47" t="s">
        <v>249</v>
      </c>
      <c r="F19" s="48">
        <v>90</v>
      </c>
      <c r="G19" s="48">
        <v>79</v>
      </c>
      <c r="H19" s="48">
        <v>81</v>
      </c>
    </row>
    <row r="20" spans="2:8" hidden="1">
      <c r="B20" s="1">
        <v>18</v>
      </c>
      <c r="C20" s="47" t="s">
        <v>263</v>
      </c>
      <c r="D20" s="47" t="s">
        <v>264</v>
      </c>
      <c r="E20" s="47" t="s">
        <v>265</v>
      </c>
      <c r="F20" s="48">
        <v>102</v>
      </c>
      <c r="G20" s="48">
        <v>90</v>
      </c>
      <c r="H20" s="48">
        <v>60</v>
      </c>
    </row>
    <row r="21" spans="2:8" hidden="1">
      <c r="B21" s="1">
        <v>19</v>
      </c>
      <c r="C21" s="47" t="s">
        <v>261</v>
      </c>
      <c r="D21" s="47" t="s">
        <v>262</v>
      </c>
      <c r="E21" s="47" t="s">
        <v>249</v>
      </c>
      <c r="F21" s="48">
        <v>88</v>
      </c>
      <c r="G21" s="48">
        <v>87</v>
      </c>
      <c r="H21" s="48">
        <v>89</v>
      </c>
    </row>
    <row r="22" spans="2:8" hidden="1">
      <c r="B22" s="1">
        <v>20</v>
      </c>
      <c r="C22" s="47" t="s">
        <v>259</v>
      </c>
      <c r="D22" s="47" t="s">
        <v>260</v>
      </c>
      <c r="E22" s="47" t="s">
        <v>252</v>
      </c>
      <c r="F22" s="48">
        <v>81</v>
      </c>
      <c r="G22" s="48">
        <v>98</v>
      </c>
      <c r="H22" s="48">
        <v>86</v>
      </c>
    </row>
    <row r="23" spans="2:8" hidden="1">
      <c r="B23" s="1">
        <v>21</v>
      </c>
      <c r="C23" s="47" t="s">
        <v>256</v>
      </c>
      <c r="D23" s="47" t="s">
        <v>257</v>
      </c>
      <c r="E23" s="47" t="s">
        <v>258</v>
      </c>
      <c r="F23" s="48">
        <v>90</v>
      </c>
      <c r="G23" s="48">
        <v>87</v>
      </c>
      <c r="H23" s="48">
        <v>80</v>
      </c>
    </row>
    <row r="24" spans="2:8" hidden="1">
      <c r="B24" s="1">
        <v>22</v>
      </c>
      <c r="C24" s="47" t="s">
        <v>253</v>
      </c>
      <c r="D24" s="47" t="s">
        <v>254</v>
      </c>
      <c r="E24" s="47" t="s">
        <v>255</v>
      </c>
      <c r="F24" s="48">
        <v>94</v>
      </c>
      <c r="G24" s="48">
        <v>90</v>
      </c>
      <c r="H24" s="48">
        <v>98</v>
      </c>
    </row>
    <row r="25" spans="2:8" hidden="1">
      <c r="B25" s="1">
        <v>23</v>
      </c>
      <c r="C25" s="47" t="s">
        <v>250</v>
      </c>
      <c r="D25" s="47" t="s">
        <v>251</v>
      </c>
      <c r="E25" s="47" t="s">
        <v>252</v>
      </c>
      <c r="F25" s="48">
        <v>97</v>
      </c>
      <c r="G25" s="48">
        <v>99</v>
      </c>
      <c r="H25" s="48">
        <v>90</v>
      </c>
    </row>
    <row r="26" spans="2:8" hidden="1">
      <c r="B26" s="1">
        <v>24</v>
      </c>
      <c r="C26" s="47" t="s">
        <v>247</v>
      </c>
      <c r="D26" s="47" t="s">
        <v>248</v>
      </c>
      <c r="E26" s="47" t="s">
        <v>249</v>
      </c>
      <c r="F26" s="48">
        <v>81</v>
      </c>
      <c r="G26" s="48">
        <v>86</v>
      </c>
      <c r="H26" s="48">
        <v>87</v>
      </c>
    </row>
    <row r="27" spans="2:8" hidden="1">
      <c r="B27" s="1">
        <v>25</v>
      </c>
      <c r="C27" s="47" t="s">
        <v>244</v>
      </c>
      <c r="D27" s="47" t="s">
        <v>245</v>
      </c>
      <c r="E27" s="47" t="s">
        <v>246</v>
      </c>
      <c r="F27" s="48">
        <v>90</v>
      </c>
      <c r="G27" s="48">
        <v>80</v>
      </c>
      <c r="H27" s="48">
        <v>90</v>
      </c>
    </row>
    <row r="28" spans="2:8" hidden="1">
      <c r="B28" s="1">
        <v>26</v>
      </c>
      <c r="C28" s="47" t="s">
        <v>241</v>
      </c>
      <c r="D28" s="47" t="s">
        <v>242</v>
      </c>
      <c r="E28" s="47" t="s">
        <v>243</v>
      </c>
      <c r="F28" s="48">
        <v>99</v>
      </c>
      <c r="G28" s="48">
        <v>98</v>
      </c>
      <c r="H28" s="48">
        <v>49</v>
      </c>
    </row>
    <row r="40" spans="2:4">
      <c r="B40" t="s">
        <v>92</v>
      </c>
    </row>
    <row r="41" spans="2:4">
      <c r="B41" s="27" t="s">
        <v>54</v>
      </c>
      <c r="C41" s="27" t="s">
        <v>0</v>
      </c>
      <c r="D41" s="27" t="s">
        <v>116</v>
      </c>
    </row>
    <row r="42" spans="2:4">
      <c r="B42" s="28" t="s">
        <v>55</v>
      </c>
      <c r="C42" s="28" t="s">
        <v>56</v>
      </c>
      <c r="D42" s="29">
        <v>20</v>
      </c>
    </row>
    <row r="43" spans="2:4">
      <c r="B43" s="28" t="s">
        <v>57</v>
      </c>
      <c r="C43" s="28" t="s">
        <v>58</v>
      </c>
      <c r="D43" s="29">
        <v>80</v>
      </c>
    </row>
    <row r="44" spans="2:4">
      <c r="B44" s="28" t="s">
        <v>57</v>
      </c>
      <c r="C44" s="28" t="s">
        <v>58</v>
      </c>
      <c r="D44" s="29">
        <v>90</v>
      </c>
    </row>
    <row r="45" spans="2:4">
      <c r="B45" s="28" t="s">
        <v>59</v>
      </c>
      <c r="C45" s="28" t="s">
        <v>60</v>
      </c>
      <c r="D45" s="29">
        <v>75</v>
      </c>
    </row>
    <row r="46" spans="2:4">
      <c r="B46" s="28" t="s">
        <v>61</v>
      </c>
      <c r="C46" s="28" t="s">
        <v>62</v>
      </c>
      <c r="D46" s="29">
        <v>80</v>
      </c>
    </row>
    <row r="47" spans="2:4">
      <c r="B47" s="28" t="s">
        <v>63</v>
      </c>
      <c r="C47" s="28" t="s">
        <v>64</v>
      </c>
      <c r="D47" s="29">
        <v>85</v>
      </c>
    </row>
    <row r="48" spans="2:4">
      <c r="B48" s="28" t="s">
        <v>65</v>
      </c>
      <c r="C48" s="28" t="s">
        <v>66</v>
      </c>
      <c r="D48" s="29">
        <v>80</v>
      </c>
    </row>
    <row r="49" spans="2:4">
      <c r="B49" s="28" t="s">
        <v>67</v>
      </c>
      <c r="C49" s="28" t="s">
        <v>68</v>
      </c>
      <c r="D49" s="29">
        <v>90</v>
      </c>
    </row>
    <row r="50" spans="2:4">
      <c r="B50" s="28" t="s">
        <v>69</v>
      </c>
      <c r="C50" s="28" t="s">
        <v>70</v>
      </c>
      <c r="D50" s="29">
        <v>95</v>
      </c>
    </row>
    <row r="51" spans="2:4">
      <c r="B51" s="28" t="s">
        <v>71</v>
      </c>
      <c r="C51" s="28" t="s">
        <v>72</v>
      </c>
      <c r="D51" s="29">
        <v>85</v>
      </c>
    </row>
    <row r="52" spans="2:4">
      <c r="B52" s="28" t="s">
        <v>73</v>
      </c>
      <c r="C52" s="28" t="s">
        <v>74</v>
      </c>
      <c r="D52" s="29">
        <v>100</v>
      </c>
    </row>
  </sheetData>
  <autoFilter ref="B2:H28">
    <filterColumn colId="2">
      <customFilters>
        <customFilter val="ms*"/>
      </customFilters>
    </filterColumn>
    <filterColumn colId="4">
      <customFilters>
        <customFilter operator="greaterThan" val="90"/>
      </customFilters>
    </filterColumn>
  </autoFilter>
  <sortState ref="B3:H28">
    <sortCondition ref="B3:B28"/>
  </sortState>
  <phoneticPr fontId="1" type="noConversion"/>
  <dataValidations xWindow="285" yWindow="339" count="1">
    <dataValidation type="whole" errorStyle="warning" allowBlank="1" showInputMessage="1" showErrorMessage="1" errorTitle="입력오류" error="다시 입력해 주세요" promptTitle="입력가능범위" prompt="0~100내에서입력가능" sqref="D42:D52">
      <formula1>0</formula1>
      <formula2>100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F25"/>
  <sheetViews>
    <sheetView workbookViewId="0">
      <selection activeCell="Q18" sqref="Q18"/>
    </sheetView>
  </sheetViews>
  <sheetFormatPr defaultRowHeight="16.5"/>
  <cols>
    <col min="1" max="3" width="9" style="3"/>
    <col min="4" max="4" width="15.5" style="3" customWidth="1"/>
    <col min="5" max="16384" width="9" style="3"/>
  </cols>
  <sheetData>
    <row r="1" spans="2:6">
      <c r="B1" s="3" t="s">
        <v>300</v>
      </c>
    </row>
    <row r="2" spans="2:6">
      <c r="B2" s="6" t="s">
        <v>118</v>
      </c>
      <c r="C2" s="6" t="s">
        <v>30</v>
      </c>
      <c r="D2" s="49" t="s">
        <v>301</v>
      </c>
      <c r="F2" s="50" t="s">
        <v>302</v>
      </c>
    </row>
    <row r="3" spans="2:6">
      <c r="B3" s="6">
        <v>1</v>
      </c>
      <c r="C3" s="4" t="s">
        <v>1</v>
      </c>
      <c r="D3" s="49">
        <v>13</v>
      </c>
    </row>
    <row r="4" spans="2:6">
      <c r="B4" s="6">
        <v>2</v>
      </c>
      <c r="C4" s="4" t="s">
        <v>2</v>
      </c>
      <c r="D4" s="49">
        <v>7</v>
      </c>
    </row>
    <row r="5" spans="2:6">
      <c r="B5" s="6">
        <v>3</v>
      </c>
      <c r="C5" s="4" t="s">
        <v>3</v>
      </c>
      <c r="D5" s="49">
        <v>4</v>
      </c>
    </row>
    <row r="6" spans="2:6">
      <c r="B6" s="6">
        <v>4</v>
      </c>
      <c r="C6" s="4" t="s">
        <v>4</v>
      </c>
      <c r="D6" s="51">
        <v>10</v>
      </c>
    </row>
    <row r="7" spans="2:6">
      <c r="B7" s="6">
        <v>5</v>
      </c>
      <c r="C7" s="4" t="s">
        <v>108</v>
      </c>
      <c r="D7" s="51">
        <v>5</v>
      </c>
    </row>
    <row r="8" spans="2:6">
      <c r="B8" s="6">
        <v>6</v>
      </c>
      <c r="C8" s="4" t="s">
        <v>51</v>
      </c>
      <c r="D8" s="51">
        <v>2</v>
      </c>
    </row>
    <row r="9" spans="2:6">
      <c r="B9" s="6">
        <v>7</v>
      </c>
      <c r="C9" s="4" t="s">
        <v>5</v>
      </c>
      <c r="D9" s="51">
        <v>1</v>
      </c>
    </row>
    <row r="25" spans="6:6">
      <c r="F25" s="3" t="s">
        <v>303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3"/>
  <sheetViews>
    <sheetView workbookViewId="0">
      <selection activeCell="E23" sqref="E23"/>
    </sheetView>
  </sheetViews>
  <sheetFormatPr defaultRowHeight="16.5"/>
  <cols>
    <col min="2" max="2" width="12.5" customWidth="1"/>
    <col min="3" max="3" width="13.75" bestFit="1" customWidth="1"/>
    <col min="5" max="5" width="13.25" customWidth="1"/>
  </cols>
  <sheetData>
    <row r="2" spans="2:5">
      <c r="B2" t="s">
        <v>193</v>
      </c>
    </row>
    <row r="3" spans="2:5">
      <c r="B3" s="6" t="s">
        <v>194</v>
      </c>
      <c r="C3" s="6" t="s">
        <v>195</v>
      </c>
      <c r="D3" s="6" t="s">
        <v>196</v>
      </c>
      <c r="E3" s="6" t="s">
        <v>197</v>
      </c>
    </row>
    <row r="4" spans="2:5">
      <c r="B4" s="6" t="s">
        <v>198</v>
      </c>
      <c r="C4" s="6" t="s">
        <v>199</v>
      </c>
      <c r="D4" s="6" t="s">
        <v>200</v>
      </c>
      <c r="E4" s="56">
        <v>8.6999999999999993</v>
      </c>
    </row>
    <row r="5" spans="2:5">
      <c r="B5" s="6" t="s">
        <v>201</v>
      </c>
      <c r="C5" s="6" t="s">
        <v>202</v>
      </c>
      <c r="D5" s="6" t="s">
        <v>203</v>
      </c>
      <c r="E5" s="56">
        <v>-5.4</v>
      </c>
    </row>
    <row r="6" spans="2:5">
      <c r="B6" s="6" t="s">
        <v>204</v>
      </c>
      <c r="C6" s="6" t="s">
        <v>205</v>
      </c>
      <c r="D6" s="6" t="s">
        <v>203</v>
      </c>
      <c r="E6" s="56">
        <v>9.5500000000000007</v>
      </c>
    </row>
    <row r="7" spans="2:5">
      <c r="B7" s="6" t="s">
        <v>206</v>
      </c>
      <c r="C7" s="6" t="s">
        <v>207</v>
      </c>
      <c r="D7" s="6" t="s">
        <v>208</v>
      </c>
      <c r="E7" s="56">
        <v>0</v>
      </c>
    </row>
    <row r="8" spans="2:5">
      <c r="B8" s="6" t="s">
        <v>209</v>
      </c>
      <c r="C8" s="6" t="s">
        <v>210</v>
      </c>
      <c r="D8" s="6" t="s">
        <v>208</v>
      </c>
      <c r="E8" s="56">
        <v>8.85</v>
      </c>
    </row>
    <row r="9" spans="2:5">
      <c r="B9" s="6" t="s">
        <v>211</v>
      </c>
      <c r="C9" s="6" t="s">
        <v>212</v>
      </c>
      <c r="D9" s="6" t="s">
        <v>200</v>
      </c>
      <c r="E9" s="56">
        <v>9.91</v>
      </c>
    </row>
    <row r="10" spans="2:5">
      <c r="B10" s="6" t="s">
        <v>213</v>
      </c>
      <c r="C10" s="6" t="s">
        <v>214</v>
      </c>
      <c r="D10" s="6" t="s">
        <v>200</v>
      </c>
      <c r="E10" s="56">
        <v>7.65</v>
      </c>
    </row>
    <row r="11" spans="2:5">
      <c r="B11" s="6" t="s">
        <v>215</v>
      </c>
      <c r="C11" s="6" t="s">
        <v>216</v>
      </c>
      <c r="D11" s="6" t="s">
        <v>208</v>
      </c>
      <c r="E11" s="56">
        <v>-6.5</v>
      </c>
    </row>
    <row r="12" spans="2:5">
      <c r="B12" s="6" t="s">
        <v>217</v>
      </c>
      <c r="C12" s="6" t="s">
        <v>218</v>
      </c>
      <c r="D12" s="6" t="s">
        <v>208</v>
      </c>
      <c r="E12" s="56">
        <v>7.8</v>
      </c>
    </row>
    <row r="13" spans="2:5">
      <c r="B13" s="6" t="s">
        <v>219</v>
      </c>
      <c r="C13" s="6" t="s">
        <v>220</v>
      </c>
      <c r="D13" s="6" t="s">
        <v>208</v>
      </c>
      <c r="E13" s="56">
        <v>8.8119999999999994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서식설정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I16"/>
  <sheetViews>
    <sheetView zoomScaleNormal="100" workbookViewId="0">
      <selection activeCell="G15" sqref="G15"/>
    </sheetView>
  </sheetViews>
  <sheetFormatPr defaultRowHeight="16.5"/>
  <cols>
    <col min="1" max="1" width="7.5" customWidth="1"/>
    <col min="2" max="2" width="12.125" customWidth="1"/>
    <col min="3" max="3" width="10.625" customWidth="1"/>
    <col min="4" max="4" width="8.75" customWidth="1"/>
    <col min="5" max="5" width="13.75" customWidth="1"/>
    <col min="6" max="6" width="13.5" customWidth="1"/>
    <col min="7" max="7" width="9" customWidth="1"/>
    <col min="8" max="8" width="13.25" customWidth="1"/>
    <col min="9" max="10" width="11" bestFit="1" customWidth="1"/>
  </cols>
  <sheetData>
    <row r="2" spans="2:9">
      <c r="B2" t="s">
        <v>304</v>
      </c>
    </row>
    <row r="3" spans="2:9">
      <c r="B3" t="s">
        <v>305</v>
      </c>
      <c r="H3" t="s">
        <v>306</v>
      </c>
    </row>
    <row r="4" spans="2:9">
      <c r="B4" s="6" t="s">
        <v>307</v>
      </c>
      <c r="C4" s="6" t="s">
        <v>308</v>
      </c>
      <c r="D4" s="6" t="s">
        <v>309</v>
      </c>
      <c r="E4" s="6" t="s">
        <v>310</v>
      </c>
      <c r="F4" s="6" t="s">
        <v>311</v>
      </c>
      <c r="H4" s="52" t="s">
        <v>312</v>
      </c>
      <c r="I4" s="52" t="s">
        <v>313</v>
      </c>
    </row>
    <row r="5" spans="2:9">
      <c r="B5" s="1"/>
      <c r="C5" s="1"/>
      <c r="D5" s="1"/>
      <c r="E5" s="1"/>
      <c r="F5" s="53"/>
      <c r="H5" s="1" t="s">
        <v>314</v>
      </c>
      <c r="I5" s="10">
        <v>9000</v>
      </c>
    </row>
    <row r="6" spans="2:9">
      <c r="B6" s="1"/>
      <c r="C6" s="1"/>
      <c r="D6" s="1"/>
      <c r="E6" s="1"/>
      <c r="F6" s="53"/>
      <c r="H6" s="1" t="s">
        <v>315</v>
      </c>
      <c r="I6" s="10">
        <v>8000</v>
      </c>
    </row>
    <row r="7" spans="2:9">
      <c r="B7" s="1"/>
      <c r="C7" s="1"/>
      <c r="D7" s="1"/>
      <c r="E7" s="1"/>
      <c r="F7" s="53"/>
      <c r="H7" s="1" t="s">
        <v>316</v>
      </c>
      <c r="I7" s="10">
        <v>7000</v>
      </c>
    </row>
    <row r="8" spans="2:9">
      <c r="B8" s="1"/>
      <c r="C8" s="1"/>
      <c r="D8" s="1"/>
      <c r="E8" s="1"/>
      <c r="F8" s="53"/>
    </row>
    <row r="9" spans="2:9">
      <c r="B9" s="1"/>
      <c r="C9" s="1"/>
      <c r="D9" s="1"/>
      <c r="E9" s="1"/>
      <c r="F9" s="1"/>
    </row>
    <row r="10" spans="2:9">
      <c r="B10" s="1"/>
      <c r="C10" s="1"/>
      <c r="D10" s="1"/>
      <c r="E10" s="1"/>
      <c r="F10" s="1"/>
    </row>
    <row r="11" spans="2:9">
      <c r="B11" s="1"/>
      <c r="C11" s="1"/>
      <c r="D11" s="1"/>
      <c r="E11" s="1"/>
      <c r="F11" s="1"/>
    </row>
    <row r="12" spans="2:9">
      <c r="B12" s="1"/>
      <c r="C12" s="1"/>
      <c r="D12" s="1"/>
      <c r="E12" s="1"/>
      <c r="F12" s="1"/>
    </row>
    <row r="13" spans="2:9">
      <c r="B13" s="1"/>
      <c r="C13" s="1"/>
      <c r="D13" s="1"/>
      <c r="E13" s="1"/>
      <c r="F13" s="1"/>
    </row>
    <row r="14" spans="2:9" ht="18.75">
      <c r="B14" s="1"/>
      <c r="C14" s="1"/>
      <c r="D14" s="1"/>
      <c r="E14" s="1"/>
      <c r="F14" s="1"/>
      <c r="H14" s="54" t="s">
        <v>317</v>
      </c>
    </row>
    <row r="15" spans="2:9">
      <c r="B15" s="1"/>
      <c r="C15" s="1"/>
      <c r="D15" s="1"/>
      <c r="E15" s="1"/>
      <c r="F15" s="1"/>
    </row>
    <row r="16" spans="2:9">
      <c r="B16" s="1"/>
      <c r="C16" s="1"/>
      <c r="D16" s="1"/>
      <c r="E16" s="1"/>
      <c r="F16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md추가">
          <controlPr defaultSize="0" autoLine="0" autoPict="0" r:id="rId5">
            <anchor moveWithCells="1">
              <from>
                <xdr:col>7</xdr:col>
                <xdr:colOff>19050</xdr:colOff>
                <xdr:row>9</xdr:row>
                <xdr:rowOff>19050</xdr:rowOff>
              </from>
              <to>
                <xdr:col>9</xdr:col>
                <xdr:colOff>333375</xdr:colOff>
                <xdr:row>11</xdr:row>
                <xdr:rowOff>180975</xdr:rowOff>
              </to>
            </anchor>
          </controlPr>
        </control>
      </mc:Choice>
      <mc:Fallback>
        <control shapeId="3075" r:id="rId4" name="Cmd추가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계산작업</vt:lpstr>
      <vt:lpstr>계산작업2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2021-05-24T06:31:15Z</cp:lastPrinted>
  <dcterms:created xsi:type="dcterms:W3CDTF">2016-04-11T07:21:32Z</dcterms:created>
  <dcterms:modified xsi:type="dcterms:W3CDTF">2021-06-07T13:23:33Z</dcterms:modified>
</cp:coreProperties>
</file>