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4-특강(3단계)\01-시험직전모의고사 엑셀12\"/>
    </mc:Choice>
  </mc:AlternateContent>
  <bookViews>
    <workbookView showVerticalScroll="0" xWindow="0" yWindow="0" windowWidth="11940" windowHeight="5370" tabRatio="660"/>
  </bookViews>
  <sheets>
    <sheet name="기본작업-1" sheetId="9" r:id="rId1"/>
    <sheet name="기본작업-2" sheetId="10" r:id="rId2"/>
    <sheet name="기본작업-3" sheetId="11" r:id="rId3"/>
    <sheet name="기본작업-4" sheetId="12" r:id="rId4"/>
    <sheet name="계산작업" sheetId="8" r:id="rId5"/>
    <sheet name="분석작업-1" sheetId="4" r:id="rId6"/>
    <sheet name="분석작업-2" sheetId="5" r:id="rId7"/>
    <sheet name="김포대리점" sheetId="14" r:id="rId8"/>
    <sheet name="인천대리점" sheetId="15" r:id="rId9"/>
    <sheet name="기타작업-1" sheetId="7" r:id="rId10"/>
    <sheet name="기타작업-2" sheetId="6" r:id="rId11"/>
    <sheet name="기타작업-3" sheetId="13" r:id="rId12"/>
  </sheets>
  <functionGroups builtInGroupCount="18"/>
  <definedNames>
    <definedName name="_xlnm._FilterDatabase" localSheetId="0" hidden="1">'기본작업-1'!$B$3:$I$33</definedName>
    <definedName name="_xlnm._FilterDatabase" localSheetId="2" hidden="1">'기본작업-3'!$B$3:$T$31</definedName>
    <definedName name="_xlnm.Criteria" localSheetId="0">'기본작업-1'!$B$35:$B$36</definedName>
    <definedName name="_xlnm.Criteria" localSheetId="2">'기본작업-3'!$V$3:$V$4</definedName>
    <definedName name="_xlnm.Extract" localSheetId="0">'기본작업-1'!$B$39:$E$39</definedName>
    <definedName name="_xlnm.Extract" localSheetId="2">'기본작업-3'!$X$3:$AB$3</definedName>
    <definedName name="_xlnm.Print_Area" localSheetId="2">'기본작업-3'!$B$3:$T$31</definedName>
    <definedName name="_xlnm.Print_Area" localSheetId="3">'기본작업-4'!$B$2:$D$12,'기본작업-4'!$E$13:$G$22,'기본작업-4'!$H$23:$J$32</definedName>
    <definedName name="Z_4FA91318_F568_4C4C_93A1_CBAB7D8E6C44_.wvu.FilterData" localSheetId="2" hidden="1">'기본작업-3'!$B$3:$T$31</definedName>
  </definedNames>
  <calcPr calcId="162913"/>
  <pivotCaches>
    <pivotCache cacheId="0" r:id="rId13"/>
    <pivotCache cacheId="1" r:id="rId14"/>
  </pivotCaches>
  <extLst>
    <ext xmlns:x15="http://schemas.microsoft.com/office/spreadsheetml/2010/11/main" uri="{FCE2AD5D-F65C-4FA6-A056-5C36A1767C68}">
      <x15:dataModel>
        <x15:modelTables>
          <x15:modelTable id="과목평점" name="과목평점" connection="과목평점"/>
        </x15:modelTables>
      </x15:dataModel>
    </ext>
  </extLst>
</workbook>
</file>

<file path=xl/calcChain.xml><?xml version="1.0" encoding="utf-8"?>
<calcChain xmlns="http://schemas.openxmlformats.org/spreadsheetml/2006/main">
  <c r="D5" i="5" l="1"/>
  <c r="D8" i="5" s="1"/>
  <c r="D12" i="5" s="1"/>
  <c r="G5" i="5" s="1"/>
  <c r="T31" i="11" l="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F97" i="8"/>
  <c r="F92" i="8"/>
  <c r="F102" i="8"/>
  <c r="F94" i="8"/>
  <c r="F101" i="8"/>
  <c r="F95" i="8"/>
  <c r="F90" i="8"/>
  <c r="F91" i="8"/>
  <c r="F99" i="8"/>
  <c r="F96" i="8"/>
  <c r="F98" i="8"/>
  <c r="F88" i="8"/>
  <c r="F89" i="8"/>
  <c r="F100" i="8"/>
  <c r="F93" i="8"/>
  <c r="I28" i="10" l="1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D36" i="9" l="1"/>
  <c r="B36" i="9"/>
  <c r="F37" i="9"/>
  <c r="H37" i="9"/>
  <c r="G36" i="9"/>
  <c r="F36" i="9"/>
  <c r="H75" i="8" l="1" a="1"/>
  <c r="H75" i="8" s="1"/>
  <c r="H76" i="8" a="1"/>
  <c r="H76" i="8" s="1"/>
  <c r="I74" i="8" a="1"/>
  <c r="I74" i="8" s="1"/>
  <c r="J74" i="8" a="1"/>
  <c r="J74" i="8" s="1"/>
  <c r="I75" i="8" a="1"/>
  <c r="I75" i="8" s="1"/>
  <c r="J75" i="8" a="1"/>
  <c r="J75" i="8" s="1"/>
  <c r="I76" i="8" a="1"/>
  <c r="I76" i="8" s="1"/>
  <c r="J76" i="8" a="1"/>
  <c r="J76" i="8" s="1"/>
  <c r="H74" i="8" a="1"/>
  <c r="H74" i="8" s="1"/>
  <c r="I80" i="8" a="1"/>
  <c r="I80" i="8" s="1"/>
  <c r="J80" i="8" a="1"/>
  <c r="J80" i="8"/>
  <c r="I81" i="8" a="1"/>
  <c r="I81" i="8" s="1"/>
  <c r="J81" i="8" a="1"/>
  <c r="J81" i="8" s="1"/>
  <c r="I82" i="8" a="1"/>
  <c r="I82" i="8" s="1"/>
  <c r="J82" i="8" a="1"/>
  <c r="J82" i="8" s="1"/>
  <c r="H81" i="8" a="1"/>
  <c r="H81" i="8" s="1"/>
  <c r="H82" i="8" a="1"/>
  <c r="H82" i="8" s="1"/>
  <c r="H80" i="8" a="1"/>
  <c r="H80" i="8" s="1"/>
  <c r="I68" i="8" a="1"/>
  <c r="I68" i="8" s="1"/>
  <c r="J68" i="8" a="1"/>
  <c r="J68" i="8" s="1"/>
  <c r="I69" i="8" a="1"/>
  <c r="I69" i="8" s="1"/>
  <c r="J69" i="8" a="1"/>
  <c r="J69" i="8" s="1"/>
  <c r="I70" i="8" a="1"/>
  <c r="I70" i="8" s="1"/>
  <c r="J70" i="8" a="1"/>
  <c r="J70" i="8" s="1"/>
  <c r="H69" i="8" a="1"/>
  <c r="H69" i="8" s="1"/>
  <c r="H70" i="8" a="1"/>
  <c r="H70" i="8" s="1"/>
  <c r="H68" i="8" a="1"/>
  <c r="H68" i="8" s="1"/>
  <c r="H51" i="8" l="1" a="1"/>
  <c r="H51" i="8" s="1"/>
  <c r="H48" i="8" a="1"/>
  <c r="H48" i="8" s="1"/>
  <c r="H45" i="8" a="1"/>
  <c r="H45" i="8" s="1"/>
  <c r="I27" i="8" l="1" a="1"/>
  <c r="I27" i="8" s="1"/>
  <c r="J27" i="8" a="1"/>
  <c r="J27" i="8" s="1"/>
  <c r="I28" i="8" a="1"/>
  <c r="I28" i="8" s="1"/>
  <c r="J28" i="8" a="1"/>
  <c r="J28" i="8" s="1"/>
  <c r="I29" i="8" a="1"/>
  <c r="I29" i="8" s="1"/>
  <c r="J29" i="8" a="1"/>
  <c r="J29" i="8" s="1"/>
  <c r="H28" i="8" a="1"/>
  <c r="H28" i="8" s="1"/>
  <c r="H29" i="8" a="1"/>
  <c r="H29" i="8" s="1"/>
  <c r="H27" i="8" a="1"/>
  <c r="H27" i="8" s="1"/>
  <c r="H36" i="8" a="1"/>
  <c r="H36" i="8" s="1"/>
  <c r="H37" i="8" a="1"/>
  <c r="H37" i="8" s="1"/>
  <c r="H35" i="8" a="1"/>
  <c r="H35" i="8" s="1"/>
  <c r="D35" i="8" a="1"/>
  <c r="D35" i="8" s="1"/>
  <c r="E35" i="8" a="1"/>
  <c r="E35" i="8" s="1"/>
  <c r="C35" i="8" a="1"/>
  <c r="C35" i="8" s="1"/>
  <c r="J37" i="8" l="1"/>
  <c r="J36" i="8"/>
  <c r="I37" i="8"/>
  <c r="I36" i="8"/>
  <c r="J35" i="8"/>
  <c r="I35" i="8"/>
  <c r="E37" i="8"/>
  <c r="D37" i="8"/>
  <c r="E36" i="8"/>
  <c r="D36" i="8"/>
  <c r="C37" i="8"/>
  <c r="C36" i="8"/>
  <c r="H5" i="8"/>
  <c r="H6" i="8"/>
  <c r="H7" i="8"/>
  <c r="H8" i="8"/>
  <c r="H9" i="8"/>
  <c r="H10" i="8"/>
  <c r="H11" i="8"/>
  <c r="H12" i="8"/>
  <c r="H13" i="8"/>
  <c r="H4" i="8"/>
  <c r="F91" i="5" l="1"/>
  <c r="H31" i="5" l="1"/>
  <c r="H30" i="5"/>
  <c r="H29" i="5"/>
  <c r="H24" i="5"/>
  <c r="H23" i="5"/>
  <c r="H22" i="5"/>
  <c r="H28" i="5"/>
  <c r="H27" i="5"/>
  <c r="H26" i="5"/>
  <c r="H25" i="5"/>
</calcChain>
</file>

<file path=xl/connections.xml><?xml version="1.0" encoding="utf-8"?>
<connections xmlns="http://schemas.openxmlformats.org/spreadsheetml/2006/main">
  <connection id="1" keepAlive="1" name="ThisWorkbookDataModel" description="데이터 모델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과목평점" type="103" refreshedVersion="6" minRefreshableVersion="5">
    <extLst>
      <ext xmlns:x15="http://schemas.microsoft.com/office/spreadsheetml/2010/11/main" uri="{DE250136-89BD-433C-8126-D09CA5730AF9}">
        <x15:connection id="과목평점" autoDelete="1">
          <x15:textPr prompt="0" codePage="949" sourceFile="C:\OA\과목평점.txt" tab="0" delimiter="/">
            <textFields count="4">
              <textField/>
              <textField type="skip"/>
              <textField/>
              <textField/>
            </textFields>
          </x15:textPr>
          <x15:modelTextPr headers="1"/>
        </x15:connection>
      </ext>
    </extLst>
  </connection>
  <connection id="3" sourceFile="C:\OA\성적자료.xls" keepAlive="1" name="성적자료" type="5" refreshedVersion="6">
    <dbPr connection="Provider=Microsoft.ACE.OLEDB.12.0;User ID=Admin;Data Source=C:\OA\성적자료.xls;Mode=Share Deny Writ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성적$" commandType="3"/>
  </connection>
</connections>
</file>

<file path=xl/sharedStrings.xml><?xml version="1.0" encoding="utf-8"?>
<sst xmlns="http://schemas.openxmlformats.org/spreadsheetml/2006/main" count="1386" uniqueCount="439">
  <si>
    <t>총합계</t>
  </si>
  <si>
    <t>평균 : 필기</t>
  </si>
  <si>
    <t>평균 : 실기</t>
  </si>
  <si>
    <t>번호</t>
  </si>
  <si>
    <t>1-5</t>
  </si>
  <si>
    <t>6-10</t>
  </si>
  <si>
    <t>11-15</t>
  </si>
  <si>
    <t>16-20</t>
  </si>
  <si>
    <t>합계 : 실기평점</t>
  </si>
  <si>
    <t>ERP</t>
  </si>
  <si>
    <t>e-비즈니스전략</t>
  </si>
  <si>
    <t>Visual Basic</t>
  </si>
  <si>
    <t>XML</t>
  </si>
  <si>
    <t>교양영어</t>
  </si>
  <si>
    <t>교양윤리</t>
  </si>
  <si>
    <t>교양체육</t>
  </si>
  <si>
    <t>멀티미디어 실습</t>
  </si>
  <si>
    <t>시스템분석설계</t>
  </si>
  <si>
    <t>영어회화</t>
  </si>
  <si>
    <t>전자상거래 관리론</t>
  </si>
  <si>
    <t>정보처리실습</t>
  </si>
  <si>
    <t>평균: 강의</t>
  </si>
  <si>
    <t>과목명</t>
  </si>
  <si>
    <t>A-102</t>
  </si>
  <si>
    <t>A-103</t>
  </si>
  <si>
    <t>A-104</t>
  </si>
  <si>
    <t>A-105</t>
  </si>
  <si>
    <t>A-106</t>
  </si>
  <si>
    <t>A-107</t>
  </si>
  <si>
    <t>A-108</t>
  </si>
  <si>
    <t>A-109</t>
  </si>
  <si>
    <t>A-110</t>
  </si>
  <si>
    <t>[표2]</t>
    <phoneticPr fontId="1" type="noConversion"/>
  </si>
  <si>
    <t>순번</t>
    <phoneticPr fontId="1" type="noConversion"/>
  </si>
  <si>
    <t>호수</t>
    <phoneticPr fontId="1" type="noConversion"/>
  </si>
  <si>
    <t>이름</t>
  </si>
  <si>
    <t>국어</t>
    <phoneticPr fontId="1" type="noConversion"/>
  </si>
  <si>
    <t>영어</t>
    <phoneticPr fontId="1" type="noConversion"/>
  </si>
  <si>
    <t>총계</t>
    <phoneticPr fontId="1" type="noConversion"/>
  </si>
  <si>
    <t>A01</t>
    <phoneticPr fontId="1" type="noConversion"/>
  </si>
  <si>
    <t>김현희</t>
  </si>
  <si>
    <t>A02</t>
  </si>
  <si>
    <t>양기식</t>
  </si>
  <si>
    <t>A03</t>
  </si>
  <si>
    <t>이시경</t>
  </si>
  <si>
    <t>A04</t>
  </si>
  <si>
    <t>양경민</t>
  </si>
  <si>
    <t>A05</t>
  </si>
  <si>
    <t>이상권</t>
  </si>
  <si>
    <t>A06</t>
  </si>
  <si>
    <t>도우리</t>
  </si>
  <si>
    <t>A07</t>
  </si>
  <si>
    <t>최은실</t>
  </si>
  <si>
    <t>A08</t>
  </si>
  <si>
    <t>안규종</t>
  </si>
  <si>
    <t>A09</t>
  </si>
  <si>
    <t>김종성</t>
  </si>
  <si>
    <t>A10</t>
  </si>
  <si>
    <t>이부영</t>
  </si>
  <si>
    <t>[표3]</t>
    <phoneticPr fontId="1" type="noConversion"/>
  </si>
  <si>
    <t>번호</t>
    <phoneticPr fontId="1" type="noConversion"/>
  </si>
  <si>
    <t>성명</t>
    <phoneticPr fontId="3" type="noConversion"/>
  </si>
  <si>
    <t>지역</t>
    <phoneticPr fontId="3" type="noConversion"/>
  </si>
  <si>
    <t>이메일</t>
    <phoneticPr fontId="3" type="noConversion"/>
  </si>
  <si>
    <t>1번</t>
    <phoneticPr fontId="1" type="noConversion"/>
  </si>
  <si>
    <t>김순호</t>
    <phoneticPr fontId="7" type="noConversion"/>
  </si>
  <si>
    <t>서울</t>
    <phoneticPr fontId="3" type="noConversion"/>
  </si>
  <si>
    <t>2번</t>
  </si>
  <si>
    <t>김흥기</t>
    <phoneticPr fontId="7" type="noConversion"/>
  </si>
  <si>
    <t>경기</t>
    <phoneticPr fontId="3" type="noConversion"/>
  </si>
  <si>
    <t>mssea@nate.com</t>
    <phoneticPr fontId="3" type="noConversion"/>
  </si>
  <si>
    <t>3번</t>
  </si>
  <si>
    <t>박영우</t>
    <phoneticPr fontId="7" type="noConversion"/>
  </si>
  <si>
    <t>인천</t>
    <phoneticPr fontId="3" type="noConversion"/>
  </si>
  <si>
    <t>star33k@nate.com</t>
    <phoneticPr fontId="3" type="noConversion"/>
  </si>
  <si>
    <t>4번</t>
  </si>
  <si>
    <t>박호철</t>
    <phoneticPr fontId="7" type="noConversion"/>
  </si>
  <si>
    <t>부산</t>
    <phoneticPr fontId="3" type="noConversion"/>
  </si>
  <si>
    <t>99013@gmail.com</t>
    <phoneticPr fontId="3" type="noConversion"/>
  </si>
  <si>
    <t>5번</t>
  </si>
  <si>
    <t>노현규</t>
    <phoneticPr fontId="7" type="noConversion"/>
  </si>
  <si>
    <t>대전</t>
    <phoneticPr fontId="3" type="noConversion"/>
  </si>
  <si>
    <t>ys121es@daum.net</t>
    <phoneticPr fontId="3" type="noConversion"/>
  </si>
  <si>
    <t>6번</t>
  </si>
  <si>
    <t>명현주</t>
    <phoneticPr fontId="7" type="noConversion"/>
  </si>
  <si>
    <t>대구</t>
    <phoneticPr fontId="3" type="noConversion"/>
  </si>
  <si>
    <t>newl22@naver.com</t>
    <phoneticPr fontId="3" type="noConversion"/>
  </si>
  <si>
    <t>7번</t>
  </si>
  <si>
    <t>권인영</t>
    <phoneticPr fontId="7" type="noConversion"/>
  </si>
  <si>
    <t>광주</t>
    <phoneticPr fontId="3" type="noConversion"/>
  </si>
  <si>
    <t>0dd8ar@naver.com</t>
    <phoneticPr fontId="3" type="noConversion"/>
  </si>
  <si>
    <t>8번</t>
  </si>
  <si>
    <t>우지원</t>
    <phoneticPr fontId="7" type="noConversion"/>
  </si>
  <si>
    <t>강원</t>
    <phoneticPr fontId="3" type="noConversion"/>
  </si>
  <si>
    <t>tenaa12@daum.net</t>
    <phoneticPr fontId="3" type="noConversion"/>
  </si>
  <si>
    <t>9번</t>
  </si>
  <si>
    <t>김현우</t>
    <phoneticPr fontId="7" type="noConversion"/>
  </si>
  <si>
    <t>제주</t>
    <phoneticPr fontId="3" type="noConversion"/>
  </si>
  <si>
    <t>kji04@gmail.com</t>
    <phoneticPr fontId="3" type="noConversion"/>
  </si>
  <si>
    <t>ldd34@naver.com</t>
    <phoneticPr fontId="1" type="noConversion"/>
  </si>
  <si>
    <t>[표4]</t>
    <phoneticPr fontId="1" type="noConversion"/>
  </si>
  <si>
    <t>좌석표</t>
    <phoneticPr fontId="1" type="noConversion"/>
  </si>
  <si>
    <t>[표5]</t>
    <phoneticPr fontId="1" type="noConversion"/>
  </si>
  <si>
    <t>분류번호</t>
    <phoneticPr fontId="1" type="noConversion"/>
  </si>
  <si>
    <t>이름</t>
    <phoneticPr fontId="1" type="noConversion"/>
  </si>
  <si>
    <t>할당 비율</t>
    <phoneticPr fontId="1" type="noConversion"/>
  </si>
  <si>
    <t>K01</t>
    <phoneticPr fontId="1" type="noConversion"/>
  </si>
  <si>
    <t>이훈섭</t>
  </si>
  <si>
    <t>K02</t>
  </si>
  <si>
    <t>서승남</t>
  </si>
  <si>
    <t>K03</t>
  </si>
  <si>
    <t>유재민</t>
  </si>
  <si>
    <t>K04</t>
  </si>
  <si>
    <t>김명수</t>
  </si>
  <si>
    <t>K05</t>
  </si>
  <si>
    <t>김태준</t>
  </si>
  <si>
    <t>K06</t>
  </si>
  <si>
    <t>김원남</t>
  </si>
  <si>
    <t>K07</t>
  </si>
  <si>
    <t>임종만</t>
  </si>
  <si>
    <t>K08</t>
  </si>
  <si>
    <t>이은주</t>
  </si>
  <si>
    <t>K09</t>
  </si>
  <si>
    <t>K10</t>
  </si>
  <si>
    <t>박철진</t>
  </si>
  <si>
    <t>총계</t>
    <phoneticPr fontId="1" type="noConversion"/>
  </si>
  <si>
    <t>[표1]</t>
    <phoneticPr fontId="1" type="noConversion"/>
  </si>
  <si>
    <t>지역</t>
    <phoneticPr fontId="1" type="noConversion"/>
  </si>
  <si>
    <t>동호수</t>
    <phoneticPr fontId="1" type="noConversion"/>
  </si>
  <si>
    <t>서울</t>
    <phoneticPr fontId="1" type="noConversion"/>
  </si>
  <si>
    <t>대전</t>
    <phoneticPr fontId="1" type="noConversion"/>
  </si>
  <si>
    <t>부산</t>
    <phoneticPr fontId="1" type="noConversion"/>
  </si>
  <si>
    <t>광주</t>
    <phoneticPr fontId="1" type="noConversion"/>
  </si>
  <si>
    <t>대구</t>
    <phoneticPr fontId="1" type="noConversion"/>
  </si>
  <si>
    <t>울산</t>
    <phoneticPr fontId="1" type="noConversion"/>
  </si>
  <si>
    <t>[표2]</t>
    <phoneticPr fontId="1" type="noConversion"/>
  </si>
  <si>
    <t>순번</t>
    <phoneticPr fontId="1" type="noConversion"/>
  </si>
  <si>
    <t>구분</t>
    <phoneticPr fontId="1" type="noConversion"/>
  </si>
  <si>
    <t>이름</t>
    <phoneticPr fontId="1" type="noConversion"/>
  </si>
  <si>
    <t>점수</t>
    <phoneticPr fontId="1" type="noConversion"/>
  </si>
  <si>
    <t>1번</t>
    <phoneticPr fontId="1" type="noConversion"/>
  </si>
  <si>
    <t>채진욱</t>
  </si>
  <si>
    <t>안병찬</t>
  </si>
  <si>
    <t>송민희</t>
  </si>
  <si>
    <t>박민선</t>
  </si>
  <si>
    <t>성은희</t>
  </si>
  <si>
    <t>이영호</t>
  </si>
  <si>
    <t>이수영</t>
  </si>
  <si>
    <t>박형주</t>
  </si>
  <si>
    <t>미응시</t>
    <phoneticPr fontId="1" type="noConversion"/>
  </si>
  <si>
    <t>김영철</t>
  </si>
  <si>
    <t>10번</t>
  </si>
  <si>
    <t>황민희</t>
  </si>
  <si>
    <t>시험취소</t>
    <phoneticPr fontId="1" type="noConversion"/>
  </si>
  <si>
    <t>[표1] 고려다원의 각 나라의 년도별 수출 현황</t>
    <phoneticPr fontId="1" type="noConversion"/>
  </si>
  <si>
    <t>국명</t>
    <phoneticPr fontId="7" type="noConversion"/>
  </si>
  <si>
    <t>1980년</t>
    <phoneticPr fontId="1" type="noConversion"/>
  </si>
  <si>
    <t>1990년</t>
    <phoneticPr fontId="1" type="noConversion"/>
  </si>
  <si>
    <t>2010년</t>
    <phoneticPr fontId="1" type="noConversion"/>
  </si>
  <si>
    <t>중국</t>
    <phoneticPr fontId="7" type="noConversion"/>
  </si>
  <si>
    <t>베트남</t>
    <phoneticPr fontId="7" type="noConversion"/>
  </si>
  <si>
    <t>인도</t>
    <phoneticPr fontId="7" type="noConversion"/>
  </si>
  <si>
    <t>스리랑카</t>
    <phoneticPr fontId="7" type="noConversion"/>
  </si>
  <si>
    <t>일본</t>
    <phoneticPr fontId="7" type="noConversion"/>
  </si>
  <si>
    <t>대만</t>
    <phoneticPr fontId="7" type="noConversion"/>
  </si>
  <si>
    <t>&lt;차트1&gt;</t>
    <phoneticPr fontId="1" type="noConversion"/>
  </si>
  <si>
    <t>&lt;차트2&gt;</t>
    <phoneticPr fontId="1" type="noConversion"/>
  </si>
  <si>
    <t>[표1-1]</t>
    <phoneticPr fontId="1" type="noConversion"/>
  </si>
  <si>
    <t>[표1-2] 가중 비율</t>
    <phoneticPr fontId="1" type="noConversion"/>
  </si>
  <si>
    <t>과목명</t>
    <phoneticPr fontId="1" type="noConversion"/>
  </si>
  <si>
    <t>출석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</si>
  <si>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</si>
  <si>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</si>
  <si>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</si>
  <si>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등급</t>
    <phoneticPr fontId="1" type="noConversion"/>
  </si>
  <si>
    <t>홍길동</t>
  </si>
  <si>
    <t>이도현</t>
  </si>
  <si>
    <t>한미우</t>
  </si>
  <si>
    <t>[표1-3] 가중 평균별 등급</t>
    <phoneticPr fontId="1" type="noConversion"/>
  </si>
  <si>
    <t>박정진</t>
  </si>
  <si>
    <t>윤수진</t>
    <phoneticPr fontId="1" type="noConversion"/>
  </si>
  <si>
    <t>이연순</t>
    <phoneticPr fontId="1" type="noConversion"/>
  </si>
  <si>
    <t>재평가</t>
    <phoneticPr fontId="1" type="noConversion"/>
  </si>
  <si>
    <t>하</t>
    <phoneticPr fontId="1" type="noConversion"/>
  </si>
  <si>
    <t>중</t>
    <phoneticPr fontId="1" type="noConversion"/>
  </si>
  <si>
    <t>상</t>
    <phoneticPr fontId="1" type="noConversion"/>
  </si>
  <si>
    <t>최재석</t>
  </si>
  <si>
    <t>김하은</t>
    <phoneticPr fontId="1" type="noConversion"/>
  </si>
  <si>
    <t>이성주</t>
    <phoneticPr fontId="1" type="noConversion"/>
  </si>
  <si>
    <t>백준걸</t>
  </si>
  <si>
    <t>[표2-1]</t>
    <phoneticPr fontId="1" type="noConversion"/>
  </si>
  <si>
    <t>구분기호</t>
    <phoneticPr fontId="1" type="noConversion"/>
  </si>
  <si>
    <t>평점</t>
    <phoneticPr fontId="1" type="noConversion"/>
  </si>
  <si>
    <t>주연</t>
    <phoneticPr fontId="1" type="noConversion"/>
  </si>
  <si>
    <t>A-101</t>
    <phoneticPr fontId="1" type="noConversion"/>
  </si>
  <si>
    <t>전체</t>
    <phoneticPr fontId="1" type="noConversion"/>
  </si>
  <si>
    <t>설경수, 송병호</t>
    <phoneticPr fontId="1" type="noConversion"/>
  </si>
  <si>
    <t>청소년관람불가</t>
    <phoneticPr fontId="1" type="noConversion"/>
  </si>
  <si>
    <t>이효영와 트위스터</t>
    <phoneticPr fontId="1" type="noConversion"/>
  </si>
  <si>
    <t>15세</t>
    <phoneticPr fontId="1" type="noConversion"/>
  </si>
  <si>
    <t>이경구, 강수동</t>
    <phoneticPr fontId="1" type="noConversion"/>
  </si>
  <si>
    <t>박정진</t>
    <phoneticPr fontId="1" type="noConversion"/>
  </si>
  <si>
    <t>최수정, 백준걸</t>
    <phoneticPr fontId="1" type="noConversion"/>
  </si>
  <si>
    <t>이도현</t>
    <phoneticPr fontId="1" type="noConversion"/>
  </si>
  <si>
    <t>윤수민, 이연정</t>
    <phoneticPr fontId="1" type="noConversion"/>
  </si>
  <si>
    <t>한미우</t>
    <phoneticPr fontId="1" type="noConversion"/>
  </si>
  <si>
    <t>안은미</t>
    <phoneticPr fontId="1" type="noConversion"/>
  </si>
  <si>
    <t>정태수, 민영기</t>
    <phoneticPr fontId="1" type="noConversion"/>
  </si>
  <si>
    <t>[표2-2]</t>
    <phoneticPr fontId="1" type="noConversion"/>
  </si>
  <si>
    <t>1순위</t>
    <phoneticPr fontId="1" type="noConversion"/>
  </si>
  <si>
    <t>2순위</t>
    <phoneticPr fontId="1" type="noConversion"/>
  </si>
  <si>
    <t>3순위</t>
    <phoneticPr fontId="1" type="noConversion"/>
  </si>
  <si>
    <t>&lt;행열이 바뀐 유형&gt;</t>
    <phoneticPr fontId="1" type="noConversion"/>
  </si>
  <si>
    <t>&lt;만약 left 함수가 같이 출제되었을 때&gt;</t>
    <phoneticPr fontId="1" type="noConversion"/>
  </si>
  <si>
    <t>[표3]</t>
    <phoneticPr fontId="1" type="noConversion"/>
  </si>
  <si>
    <t>10-S-01A</t>
    <phoneticPr fontId="1" type="noConversion"/>
  </si>
  <si>
    <t>김이준</t>
    <phoneticPr fontId="1" type="noConversion"/>
  </si>
  <si>
    <t>10-S-02A</t>
    <phoneticPr fontId="1" type="noConversion"/>
  </si>
  <si>
    <t>김원이</t>
    <phoneticPr fontId="1" type="noConversion"/>
  </si>
  <si>
    <t>10-S-03A</t>
    <phoneticPr fontId="1" type="noConversion"/>
  </si>
  <si>
    <t>이종만</t>
    <phoneticPr fontId="1" type="noConversion"/>
  </si>
  <si>
    <t>*</t>
    <phoneticPr fontId="1" type="noConversion"/>
  </si>
  <si>
    <t>10-S-04A</t>
    <phoneticPr fontId="1" type="noConversion"/>
  </si>
  <si>
    <t>10-S-05A</t>
    <phoneticPr fontId="1" type="noConversion"/>
  </si>
  <si>
    <t>이경진</t>
    <phoneticPr fontId="1" type="noConversion"/>
  </si>
  <si>
    <t>10-S-06B</t>
    <phoneticPr fontId="1" type="noConversion"/>
  </si>
  <si>
    <t>이철진</t>
    <phoneticPr fontId="1" type="noConversion"/>
  </si>
  <si>
    <t>10-S-07B</t>
    <phoneticPr fontId="1" type="noConversion"/>
  </si>
  <si>
    <t>이진욱</t>
    <phoneticPr fontId="1" type="noConversion"/>
  </si>
  <si>
    <t>10-S-08B</t>
    <phoneticPr fontId="1" type="noConversion"/>
  </si>
  <si>
    <t>10-S-09B</t>
    <phoneticPr fontId="1" type="noConversion"/>
  </si>
  <si>
    <t>10-S-10B</t>
    <phoneticPr fontId="1" type="noConversion"/>
  </si>
  <si>
    <t>11번</t>
  </si>
  <si>
    <t>10-S-11C</t>
    <phoneticPr fontId="1" type="noConversion"/>
  </si>
  <si>
    <t>12번</t>
  </si>
  <si>
    <t>10-S-12C</t>
    <phoneticPr fontId="1" type="noConversion"/>
  </si>
  <si>
    <t>김영호</t>
    <phoneticPr fontId="1" type="noConversion"/>
  </si>
  <si>
    <t>13번</t>
  </si>
  <si>
    <t>10-S-13C</t>
    <phoneticPr fontId="1" type="noConversion"/>
  </si>
  <si>
    <t>수이영</t>
    <phoneticPr fontId="1" type="noConversion"/>
  </si>
  <si>
    <t>14번</t>
  </si>
  <si>
    <t>10-S-14C</t>
    <phoneticPr fontId="1" type="noConversion"/>
  </si>
  <si>
    <t>15번</t>
  </si>
  <si>
    <t>10-S-15C</t>
    <phoneticPr fontId="1" type="noConversion"/>
  </si>
  <si>
    <t>인원수</t>
    <phoneticPr fontId="1" type="noConversion"/>
  </si>
  <si>
    <t>담당자</t>
    <phoneticPr fontId="1" type="noConversion"/>
  </si>
  <si>
    <t>업무점수</t>
    <phoneticPr fontId="1" type="noConversion"/>
  </si>
  <si>
    <t>업무점수 최대값</t>
    <phoneticPr fontId="1" type="noConversion"/>
  </si>
  <si>
    <t>다른 풀이</t>
    <phoneticPr fontId="1" type="noConversion"/>
  </si>
  <si>
    <t>IF도 출제되었다면</t>
    <phoneticPr fontId="1" type="noConversion"/>
  </si>
  <si>
    <t>성명</t>
    <phoneticPr fontId="1" type="noConversion"/>
  </si>
  <si>
    <t>과목-난이도</t>
    <phoneticPr fontId="1" type="noConversion"/>
  </si>
  <si>
    <t>데이터처리</t>
    <phoneticPr fontId="1" type="noConversion"/>
  </si>
  <si>
    <t>문제처리</t>
    <phoneticPr fontId="1" type="noConversion"/>
  </si>
  <si>
    <t>필기</t>
    <phoneticPr fontId="1" type="noConversion"/>
  </si>
  <si>
    <t>데이터처리-초급</t>
    <phoneticPr fontId="1" type="noConversion"/>
  </si>
  <si>
    <t>초급</t>
    <phoneticPr fontId="1" type="noConversion"/>
  </si>
  <si>
    <t>문제처리-고급</t>
    <phoneticPr fontId="1" type="noConversion"/>
  </si>
  <si>
    <t>중급</t>
    <phoneticPr fontId="1" type="noConversion"/>
  </si>
  <si>
    <t>필기-초급</t>
    <phoneticPr fontId="1" type="noConversion"/>
  </si>
  <si>
    <t>고급</t>
    <phoneticPr fontId="1" type="noConversion"/>
  </si>
  <si>
    <t>데이터처리-고급</t>
    <phoneticPr fontId="1" type="noConversion"/>
  </si>
  <si>
    <t>필기-고급</t>
    <phoneticPr fontId="1" type="noConversion"/>
  </si>
  <si>
    <t>문제처리-중급</t>
    <phoneticPr fontId="1" type="noConversion"/>
  </si>
  <si>
    <t>필기-중급</t>
    <phoneticPr fontId="1" type="noConversion"/>
  </si>
  <si>
    <t>[표4-2]</t>
    <phoneticPr fontId="1" type="noConversion"/>
  </si>
  <si>
    <t>&lt;다른 풀이&gt;</t>
    <phoneticPr fontId="1" type="noConversion"/>
  </si>
  <si>
    <t>&lt;IF가 같이 출제되었다면&gt;</t>
    <phoneticPr fontId="1" type="noConversion"/>
  </si>
  <si>
    <t>대출일자</t>
    <phoneticPr fontId="1" type="noConversion"/>
  </si>
  <si>
    <t>1차납부</t>
    <phoneticPr fontId="1" type="noConversion"/>
  </si>
  <si>
    <t>2차납부</t>
  </si>
  <si>
    <t>3차납부</t>
  </si>
  <si>
    <t>4차납부</t>
  </si>
  <si>
    <t>이자율</t>
    <phoneticPr fontId="1" type="noConversion"/>
  </si>
  <si>
    <t>1번</t>
    <phoneticPr fontId="1" type="noConversion"/>
  </si>
  <si>
    <t>○</t>
    <phoneticPr fontId="1" type="noConversion"/>
  </si>
  <si>
    <t>윤보라</t>
  </si>
  <si>
    <t>이형태</t>
  </si>
  <si>
    <t>김한응</t>
  </si>
  <si>
    <t>이미라</t>
  </si>
  <si>
    <t>고수정</t>
  </si>
  <si>
    <t>유응구</t>
  </si>
  <si>
    <t>안은민</t>
  </si>
  <si>
    <t>이병열</t>
  </si>
  <si>
    <t>이충희</t>
  </si>
  <si>
    <t>16번</t>
  </si>
  <si>
    <t>17번</t>
  </si>
  <si>
    <t>18번</t>
  </si>
  <si>
    <t>19번</t>
  </si>
  <si>
    <t>20번</t>
  </si>
  <si>
    <t>21번</t>
  </si>
  <si>
    <t>22번</t>
  </si>
  <si>
    <t>23번</t>
  </si>
  <si>
    <t>24번</t>
  </si>
  <si>
    <t>25번</t>
  </si>
  <si>
    <t>26번</t>
  </si>
  <si>
    <t>27번</t>
  </si>
  <si>
    <t>28번</t>
  </si>
  <si>
    <t>29번</t>
  </si>
  <si>
    <t>30번</t>
  </si>
  <si>
    <t>조건1</t>
    <phoneticPr fontId="1" type="noConversion"/>
  </si>
  <si>
    <t>조건2</t>
    <phoneticPr fontId="1" type="noConversion"/>
  </si>
  <si>
    <t>조건3</t>
    <phoneticPr fontId="1" type="noConversion"/>
  </si>
  <si>
    <t>조건</t>
    <phoneticPr fontId="1" type="noConversion"/>
  </si>
  <si>
    <t>&lt;COUNTIF로 출제되었다면&gt;</t>
    <phoneticPr fontId="1" type="noConversion"/>
  </si>
  <si>
    <t>[표1] 지역별 성적표</t>
    <phoneticPr fontId="1" type="noConversion"/>
  </si>
  <si>
    <t>성명</t>
    <phoneticPr fontId="7" type="noConversion"/>
  </si>
  <si>
    <t>지점명</t>
    <phoneticPr fontId="7" type="noConversion"/>
  </si>
  <si>
    <t>국어</t>
    <phoneticPr fontId="7" type="noConversion"/>
  </si>
  <si>
    <t>영어</t>
    <phoneticPr fontId="14" type="noConversion"/>
  </si>
  <si>
    <t>수학</t>
    <phoneticPr fontId="14" type="noConversion"/>
  </si>
  <si>
    <t>총점</t>
    <phoneticPr fontId="1" type="noConversion"/>
  </si>
  <si>
    <t>김선영</t>
  </si>
  <si>
    <t>영남</t>
    <phoneticPr fontId="7" type="noConversion"/>
  </si>
  <si>
    <t>선주영</t>
  </si>
  <si>
    <t>호남</t>
    <phoneticPr fontId="7" type="noConversion"/>
  </si>
  <si>
    <t>은진희</t>
  </si>
  <si>
    <t>김재희</t>
  </si>
  <si>
    <t>충청</t>
    <phoneticPr fontId="7" type="noConversion"/>
  </si>
  <si>
    <t>정래은</t>
  </si>
  <si>
    <t>서울</t>
    <phoneticPr fontId="7" type="noConversion"/>
  </si>
  <si>
    <t>우현석</t>
  </si>
  <si>
    <t>강원</t>
    <phoneticPr fontId="7" type="noConversion"/>
  </si>
  <si>
    <t>명계철</t>
  </si>
  <si>
    <t>김주억</t>
  </si>
  <si>
    <t>사공철</t>
  </si>
  <si>
    <t>송광철</t>
  </si>
  <si>
    <t>박창주</t>
  </si>
  <si>
    <t>국덕근</t>
  </si>
  <si>
    <t>나연희</t>
  </si>
  <si>
    <t>이주현</t>
  </si>
  <si>
    <t>정태훈</t>
  </si>
  <si>
    <t>이소식</t>
  </si>
  <si>
    <t>김구열</t>
  </si>
  <si>
    <t>최민준</t>
  </si>
  <si>
    <t>이기식</t>
  </si>
  <si>
    <t>한부희</t>
  </si>
  <si>
    <t>오철호</t>
  </si>
  <si>
    <t>장길수</t>
  </si>
  <si>
    <t>최지현</t>
  </si>
  <si>
    <t>민순례</t>
  </si>
  <si>
    <t>유아영</t>
  </si>
  <si>
    <t>김철민</t>
  </si>
  <si>
    <t>학년</t>
  </si>
  <si>
    <t>반</t>
  </si>
  <si>
    <t>출석수</t>
  </si>
  <si>
    <t>사랑반</t>
    <phoneticPr fontId="19" type="noConversion"/>
  </si>
  <si>
    <t>김영서</t>
    <phoneticPr fontId="19" type="noConversion"/>
  </si>
  <si>
    <t>O</t>
    <phoneticPr fontId="19" type="noConversion"/>
  </si>
  <si>
    <t>이환</t>
    <phoneticPr fontId="19" type="noConversion"/>
  </si>
  <si>
    <t>김유준</t>
    <phoneticPr fontId="19" type="noConversion"/>
  </si>
  <si>
    <t>화평반</t>
    <phoneticPr fontId="19" type="noConversion"/>
  </si>
  <si>
    <t>김지환</t>
    <phoneticPr fontId="19" type="noConversion"/>
  </si>
  <si>
    <t>원가은</t>
    <phoneticPr fontId="19" type="noConversion"/>
  </si>
  <si>
    <t>김서찬</t>
    <phoneticPr fontId="19" type="noConversion"/>
  </si>
  <si>
    <t>노재현</t>
    <phoneticPr fontId="19" type="noConversion"/>
  </si>
  <si>
    <t>희락반</t>
    <phoneticPr fontId="19" type="noConversion"/>
  </si>
  <si>
    <t>최예진</t>
    <phoneticPr fontId="19" type="noConversion"/>
  </si>
  <si>
    <t>전준호</t>
    <phoneticPr fontId="19" type="noConversion"/>
  </si>
  <si>
    <t>김우인</t>
    <phoneticPr fontId="19" type="noConversion"/>
  </si>
  <si>
    <t>양선반</t>
    <phoneticPr fontId="19" type="noConversion"/>
  </si>
  <si>
    <t>신지섭</t>
  </si>
  <si>
    <t>정승우</t>
  </si>
  <si>
    <t>오래참음반</t>
    <phoneticPr fontId="19" type="noConversion"/>
  </si>
  <si>
    <t>강연지</t>
  </si>
  <si>
    <t>박소연</t>
  </si>
  <si>
    <t>윤지강</t>
  </si>
  <si>
    <t>손채영</t>
  </si>
  <si>
    <t>자비반</t>
    <phoneticPr fontId="19" type="noConversion"/>
  </si>
  <si>
    <t>박지민</t>
  </si>
  <si>
    <t>김하람</t>
  </si>
  <si>
    <t>김하영</t>
  </si>
  <si>
    <t>이지훈</t>
  </si>
  <si>
    <t>이선녕</t>
  </si>
  <si>
    <t>충성반</t>
    <phoneticPr fontId="19" type="noConversion"/>
  </si>
  <si>
    <t>곽용빈</t>
  </si>
  <si>
    <t>이승아</t>
  </si>
  <si>
    <t>한정우</t>
    <phoneticPr fontId="19" type="noConversion"/>
  </si>
  <si>
    <t>이창재</t>
  </si>
  <si>
    <t>노석진</t>
  </si>
  <si>
    <t>권한지</t>
    <phoneticPr fontId="19" type="noConversion"/>
  </si>
  <si>
    <t>최경주</t>
  </si>
  <si>
    <t>3월</t>
    <phoneticPr fontId="1" type="noConversion"/>
  </si>
  <si>
    <t>4월</t>
    <phoneticPr fontId="1" type="noConversion"/>
  </si>
  <si>
    <t>5월</t>
    <phoneticPr fontId="1" type="noConversion"/>
  </si>
  <si>
    <t>홍길동</t>
    <phoneticPr fontId="1" type="noConversion"/>
  </si>
  <si>
    <t>박태진</t>
    <phoneticPr fontId="1" type="noConversion"/>
  </si>
  <si>
    <t>현재일</t>
    <phoneticPr fontId="1" type="noConversion"/>
  </si>
  <si>
    <t>[표5]</t>
    <phoneticPr fontId="1" type="noConversion"/>
  </si>
  <si>
    <t>결제일</t>
    <phoneticPr fontId="1" type="noConversion"/>
  </si>
  <si>
    <t>납부여부</t>
    <phoneticPr fontId="1" type="noConversion"/>
  </si>
  <si>
    <t>할인율</t>
    <phoneticPr fontId="1" type="noConversion"/>
  </si>
  <si>
    <t>-</t>
    <phoneticPr fontId="1" type="noConversion"/>
  </si>
  <si>
    <t>-</t>
    <phoneticPr fontId="1" type="noConversion"/>
  </si>
  <si>
    <t>기준일자 :</t>
    <phoneticPr fontId="1" type="noConversion"/>
  </si>
  <si>
    <t>&lt;연봉 표&gt;</t>
    <phoneticPr fontId="1" type="noConversion"/>
  </si>
  <si>
    <t>직책</t>
    <phoneticPr fontId="1" type="noConversion"/>
  </si>
  <si>
    <t>연봉</t>
    <phoneticPr fontId="1" type="noConversion"/>
  </si>
  <si>
    <t>생년월일</t>
    <phoneticPr fontId="1" type="noConversion"/>
  </si>
  <si>
    <t>나이</t>
    <phoneticPr fontId="1" type="noConversion"/>
  </si>
  <si>
    <t>월급여</t>
    <phoneticPr fontId="1" type="noConversion"/>
  </si>
  <si>
    <t>작성일자 :</t>
    <phoneticPr fontId="1" type="noConversion"/>
  </si>
  <si>
    <t>김포 대리점 판매현황</t>
    <phoneticPr fontId="1" type="noConversion"/>
  </si>
  <si>
    <t>인천 대리점 판매현황</t>
    <phoneticPr fontId="1" type="noConversion"/>
  </si>
  <si>
    <t>품목</t>
  </si>
  <si>
    <t>3월</t>
    <phoneticPr fontId="23" type="noConversion"/>
  </si>
  <si>
    <t>2월</t>
    <phoneticPr fontId="1" type="noConversion"/>
  </si>
  <si>
    <t>1월</t>
    <phoneticPr fontId="23" type="noConversion"/>
  </si>
  <si>
    <t>MP3</t>
  </si>
  <si>
    <t>노트북</t>
  </si>
  <si>
    <t>캠코더</t>
  </si>
  <si>
    <t>카메라폰</t>
  </si>
  <si>
    <r>
      <t>P</t>
    </r>
    <r>
      <rPr>
        <sz val="11"/>
        <color theme="1"/>
        <rFont val="맑은 고딕"/>
        <family val="3"/>
        <charset val="129"/>
        <scheme val="minor"/>
      </rPr>
      <t>DP</t>
    </r>
    <phoneticPr fontId="7" type="noConversion"/>
  </si>
  <si>
    <r>
      <t>D</t>
    </r>
    <r>
      <rPr>
        <sz val="11"/>
        <color theme="1"/>
        <rFont val="맑은 고딕"/>
        <family val="3"/>
        <charset val="129"/>
        <scheme val="minor"/>
      </rPr>
      <t>VD</t>
    </r>
    <phoneticPr fontId="7" type="noConversion"/>
  </si>
  <si>
    <t>1월</t>
    <phoneticPr fontId="7" type="noConversion"/>
  </si>
  <si>
    <t>2월</t>
  </si>
  <si>
    <t>3월</t>
  </si>
  <si>
    <t>[표1-1] 이익 계산</t>
    <phoneticPr fontId="7" type="noConversion"/>
  </si>
  <si>
    <t>판매량</t>
    <phoneticPr fontId="7" type="noConversion"/>
  </si>
  <si>
    <t>[표1-2]</t>
    <phoneticPr fontId="1" type="noConversion"/>
  </si>
  <si>
    <t>단가</t>
    <phoneticPr fontId="7" type="noConversion"/>
  </si>
  <si>
    <t xml:space="preserve">판매량 </t>
    <phoneticPr fontId="7" type="noConversion"/>
  </si>
  <si>
    <t>금액</t>
    <phoneticPr fontId="7" type="noConversion"/>
  </si>
  <si>
    <t>단
가</t>
    <phoneticPr fontId="7" type="noConversion"/>
  </si>
  <si>
    <t>원가</t>
    <phoneticPr fontId="7" type="noConversion"/>
  </si>
  <si>
    <t>총이익</t>
    <phoneticPr fontId="7" type="noConversion"/>
  </si>
  <si>
    <t>판매비용</t>
    <phoneticPr fontId="7" type="noConversion"/>
  </si>
  <si>
    <t>관리비용</t>
    <phoneticPr fontId="7" type="noConversion"/>
  </si>
  <si>
    <t>이익</t>
    <phoneticPr fontId="7" type="noConversion"/>
  </si>
  <si>
    <t>&lt;표6&gt; 대리점별 판매현황</t>
    <phoneticPr fontId="1" type="noConversion"/>
  </si>
  <si>
    <t>순번</t>
  </si>
  <si>
    <t>층수</t>
  </si>
  <si>
    <t>1월</t>
  </si>
  <si>
    <t>1번</t>
  </si>
  <si>
    <t>1층</t>
  </si>
  <si>
    <t>2층</t>
  </si>
  <si>
    <t>냉장고</t>
  </si>
  <si>
    <t>PDP</t>
  </si>
  <si>
    <t>DVD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</si>
</sst>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;@"/>
    <numFmt numFmtId="177" formatCode="[Blue][&gt;=15000]0;[Red][=0]0;0"/>
    <numFmt numFmtId="178" formatCode="[Blue][=1]&quot;완료&quot;;[Red][=2]&quot;미완료&quot;;&quot;■&quot;"/>
    <numFmt numFmtId="179" formatCode="[Red][&gt;=250]&quot;BIG&quot;* 0;[Blue][&lt;=225]&quot;SMALL&quot;* 0;0"/>
    <numFmt numFmtId="180" formatCode="[&gt;=1000]#&quot;동&quot;###&quot;호&quot;;[&lt;1000]###&quot;호&quot;"/>
    <numFmt numFmtId="181" formatCode="[Blue][&gt;=50]0;[Green][=0]0;[Black]0;[Red]@"/>
    <numFmt numFmtId="182" formatCode="0&quot;부&quot;&quot;터&quot;"/>
    <numFmt numFmtId="183" formatCode="0&quot;까&quot;&quot;지&quot;"/>
    <numFmt numFmtId="184" formatCode="0&quot;순위&quot;"/>
    <numFmt numFmtId="185" formatCode="m\/d"/>
    <numFmt numFmtId="186" formatCode="mm&quot;월&quot;\ dd&quot;일&quot;"/>
    <numFmt numFmtId="187" formatCode="0_ "/>
    <numFmt numFmtId="188" formatCode="&quot;₩&quot;#,##0_);[Red]\(&quot;₩&quot;#,##0\)"/>
  </numFmts>
  <fonts count="2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u/>
      <sz val="11"/>
      <color theme="10"/>
      <name val="맑은 고딕"/>
      <family val="2"/>
      <charset val="129"/>
      <scheme val="minor"/>
    </font>
    <font>
      <sz val="12"/>
      <color rgb="FF000000"/>
      <name val="나눔고딕"/>
      <family val="3"/>
      <charset val="129"/>
    </font>
    <font>
      <sz val="11"/>
      <color rgb="FF000000"/>
      <name val="맑은 고딕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b/>
      <i/>
      <sz val="14"/>
      <color theme="1"/>
      <name val="궁서"/>
      <family val="1"/>
      <charset val="129"/>
    </font>
    <font>
      <sz val="10"/>
      <name val="Arial"/>
      <family val="2"/>
    </font>
    <font>
      <sz val="11"/>
      <color indexed="6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/>
    <xf numFmtId="0" fontId="8" fillId="0" borderId="0" applyNumberFormat="0" applyFill="0" applyBorder="0" applyAlignment="0" applyProtection="0">
      <alignment vertical="center"/>
    </xf>
    <xf numFmtId="0" fontId="4" fillId="0" borderId="0"/>
    <xf numFmtId="0" fontId="17" fillId="7" borderId="0" applyNumberFormat="0" applyBorder="0" applyAlignment="0" applyProtection="0">
      <alignment vertical="center"/>
    </xf>
    <xf numFmtId="0" fontId="16" fillId="8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41" fontId="16" fillId="0" borderId="0" applyFont="0" applyFill="0" applyBorder="0" applyAlignment="0" applyProtection="0">
      <alignment vertical="center"/>
    </xf>
    <xf numFmtId="42" fontId="16" fillId="0" borderId="0" applyFont="0" applyFill="0" applyBorder="0" applyAlignment="0" applyProtection="0">
      <alignment vertical="center"/>
    </xf>
    <xf numFmtId="0" fontId="2" fillId="0" borderId="0"/>
  </cellStyleXfs>
  <cellXfs count="135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0" borderId="0" xfId="0" applyAlignment="1"/>
    <xf numFmtId="0" fontId="5" fillId="2" borderId="1" xfId="3" applyFont="1" applyFill="1" applyBorder="1" applyAlignment="1">
      <alignment horizontal="center"/>
    </xf>
    <xf numFmtId="0" fontId="5" fillId="0" borderId="1" xfId="3" applyFont="1" applyFill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3" applyFont="1" applyBorder="1" applyAlignment="1">
      <alignment horizontal="center"/>
    </xf>
    <xf numFmtId="0" fontId="0" fillId="0" borderId="0" xfId="0" quotePrefix="1">
      <alignment vertical="center"/>
    </xf>
    <xf numFmtId="49" fontId="8" fillId="0" borderId="1" xfId="4" applyNumberFormat="1" applyBorder="1" applyAlignment="1">
      <alignment horizontal="left" vertical="center"/>
    </xf>
    <xf numFmtId="0" fontId="8" fillId="0" borderId="0" xfId="4" quotePrefix="1">
      <alignment vertical="center"/>
    </xf>
    <xf numFmtId="0" fontId="8" fillId="0" borderId="1" xfId="4" applyBorder="1">
      <alignment vertical="center"/>
    </xf>
    <xf numFmtId="0" fontId="9" fillId="0" borderId="0" xfId="0" applyFont="1">
      <alignment vertical="center"/>
    </xf>
    <xf numFmtId="0" fontId="0" fillId="3" borderId="1" xfId="0" applyFill="1" applyBorder="1" applyAlignment="1">
      <alignment horizontal="center"/>
    </xf>
    <xf numFmtId="9" fontId="5" fillId="0" borderId="1" xfId="3" applyNumberFormat="1" applyFont="1" applyFill="1" applyBorder="1" applyAlignment="1">
      <alignment horizontal="center" wrapText="1"/>
    </xf>
    <xf numFmtId="9" fontId="0" fillId="0" borderId="1" xfId="0" applyNumberFormat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5" fillId="0" borderId="1" xfId="3" applyFont="1" applyFill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1" fontId="5" fillId="0" borderId="1" xfId="3" applyNumberFormat="1" applyFont="1" applyFill="1" applyBorder="1" applyAlignment="1">
      <alignment horizontal="center" wrapText="1"/>
    </xf>
    <xf numFmtId="0" fontId="2" fillId="0" borderId="0" xfId="1" applyAlignment="1">
      <alignment vertical="center"/>
    </xf>
    <xf numFmtId="0" fontId="2" fillId="0" borderId="1" xfId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1" xfId="5" applyFont="1" applyFill="1" applyBorder="1" applyAlignment="1">
      <alignment horizontal="center" wrapText="1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82" fontId="0" fillId="0" borderId="1" xfId="0" applyNumberFormat="1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183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184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5" fillId="0" borderId="1" xfId="3" applyFont="1" applyFill="1" applyBorder="1" applyAlignment="1" applyProtection="1">
      <alignment horizontal="center"/>
    </xf>
    <xf numFmtId="0" fontId="5" fillId="0" borderId="1" xfId="3" applyFont="1" applyFill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0" borderId="1" xfId="3" applyFont="1" applyFill="1" applyBorder="1" applyAlignment="1" applyProtection="1">
      <alignment horizontal="center" wrapText="1"/>
    </xf>
    <xf numFmtId="0" fontId="5" fillId="0" borderId="2" xfId="3" applyFont="1" applyFill="1" applyBorder="1" applyAlignment="1">
      <alignment horizontal="center" wrapText="1"/>
    </xf>
    <xf numFmtId="0" fontId="11" fillId="6" borderId="1" xfId="5" applyFont="1" applyFill="1" applyBorder="1" applyAlignment="1">
      <alignment horizontal="center"/>
    </xf>
    <xf numFmtId="0" fontId="11" fillId="0" borderId="1" xfId="5" applyFont="1" applyBorder="1" applyAlignment="1">
      <alignment horizontal="center" wrapText="1"/>
    </xf>
    <xf numFmtId="14" fontId="11" fillId="0" borderId="1" xfId="5" applyNumberFormat="1" applyFont="1" applyBorder="1" applyAlignment="1">
      <alignment horizontal="center" wrapText="1"/>
    </xf>
    <xf numFmtId="41" fontId="11" fillId="0" borderId="1" xfId="5" applyNumberFormat="1" applyFont="1" applyBorder="1" applyAlignment="1">
      <alignment horizontal="center" wrapText="1"/>
    </xf>
    <xf numFmtId="14" fontId="0" fillId="0" borderId="1" xfId="0" applyNumberFormat="1" applyBorder="1" applyAlignment="1">
      <alignment horizontal="center" vertical="center"/>
    </xf>
    <xf numFmtId="0" fontId="12" fillId="0" borderId="0" xfId="0" applyFont="1" applyFill="1" applyBorder="1" applyAlignment="1">
      <alignment horizontal="center" vertical="center"/>
    </xf>
    <xf numFmtId="0" fontId="11" fillId="0" borderId="0" xfId="5" applyFont="1" applyFill="1" applyBorder="1" applyAlignment="1">
      <alignment horizontal="center" wrapText="1"/>
    </xf>
    <xf numFmtId="0" fontId="13" fillId="4" borderId="1" xfId="0" applyFont="1" applyFill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0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185" fontId="0" fillId="0" borderId="1" xfId="0" applyNumberFormat="1" applyFont="1" applyFill="1" applyBorder="1" applyAlignment="1">
      <alignment horizontal="center" vertical="center" shrinkToFit="1"/>
    </xf>
    <xf numFmtId="0" fontId="18" fillId="0" borderId="1" xfId="6" applyFont="1" applyFill="1" applyBorder="1" applyAlignment="1">
      <alignment horizontal="center" vertical="center"/>
    </xf>
    <xf numFmtId="0" fontId="12" fillId="0" borderId="1" xfId="7" applyFont="1" applyFill="1" applyBorder="1" applyAlignment="1">
      <alignment horizontal="center" vertical="center" wrapText="1"/>
    </xf>
    <xf numFmtId="0" fontId="16" fillId="0" borderId="1" xfId="7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 shrinkToFit="1"/>
    </xf>
    <xf numFmtId="0" fontId="20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/>
    </xf>
    <xf numFmtId="0" fontId="12" fillId="0" borderId="1" xfId="9" applyFont="1" applyFill="1" applyBorder="1" applyAlignment="1">
      <alignment horizontal="center" vertical="center" wrapText="1"/>
    </xf>
    <xf numFmtId="0" fontId="16" fillId="0" borderId="1" xfId="9" applyFont="1" applyFill="1" applyBorder="1" applyAlignment="1">
      <alignment horizontal="center" vertical="center" wrapText="1"/>
    </xf>
    <xf numFmtId="0" fontId="12" fillId="0" borderId="1" xfId="9" applyFont="1" applyFill="1" applyBorder="1" applyAlignment="1">
      <alignment horizontal="center" vertical="center"/>
    </xf>
    <xf numFmtId="0" fontId="12" fillId="0" borderId="1" xfId="8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shrinkToFit="1"/>
    </xf>
    <xf numFmtId="0" fontId="16" fillId="0" borderId="1" xfId="7" applyFont="1" applyFill="1" applyBorder="1" applyAlignment="1">
      <alignment horizontal="center" vertical="center" wrapText="1"/>
    </xf>
    <xf numFmtId="0" fontId="16" fillId="0" borderId="1" xfId="7" applyFont="1" applyFill="1" applyBorder="1" applyAlignment="1">
      <alignment horizontal="center" vertical="center" shrinkToFit="1"/>
    </xf>
    <xf numFmtId="0" fontId="16" fillId="0" borderId="1" xfId="8" applyFont="1" applyFill="1" applyBorder="1" applyAlignment="1">
      <alignment horizontal="center" vertical="center" wrapText="1"/>
    </xf>
    <xf numFmtId="0" fontId="16" fillId="0" borderId="1" xfId="10" applyFont="1" applyFill="1" applyBorder="1" applyAlignment="1">
      <alignment horizontal="center" vertical="center" wrapText="1"/>
    </xf>
    <xf numFmtId="0" fontId="12" fillId="0" borderId="1" xfId="10" applyFont="1" applyFill="1" applyBorder="1" applyAlignment="1">
      <alignment horizontal="center" vertical="center" wrapText="1"/>
    </xf>
    <xf numFmtId="0" fontId="21" fillId="0" borderId="1" xfId="6" applyFont="1" applyFill="1" applyBorder="1" applyAlignment="1">
      <alignment horizontal="center" vertical="center"/>
    </xf>
    <xf numFmtId="0" fontId="0" fillId="0" borderId="1" xfId="0" applyNumberFormat="1" applyBorder="1" applyAlignment="1" applyProtection="1">
      <alignment horizontal="center" vertical="center"/>
      <protection hidden="1"/>
    </xf>
    <xf numFmtId="0" fontId="12" fillId="0" borderId="0" xfId="0" applyFont="1">
      <alignment vertical="center"/>
    </xf>
    <xf numFmtId="0" fontId="10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1" xfId="7" applyFont="1" applyFill="1" applyBorder="1" applyAlignment="1">
      <alignment horizontal="center" vertical="center" wrapText="1"/>
    </xf>
    <xf numFmtId="0" fontId="6" fillId="0" borderId="1" xfId="6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11" fillId="0" borderId="1" xfId="5" applyFont="1" applyFill="1" applyBorder="1" applyAlignment="1">
      <alignment horizontal="center"/>
    </xf>
    <xf numFmtId="0" fontId="11" fillId="4" borderId="1" xfId="5" applyFont="1" applyFill="1" applyBorder="1" applyAlignment="1">
      <alignment horizontal="center"/>
    </xf>
    <xf numFmtId="9" fontId="11" fillId="0" borderId="1" xfId="5" applyNumberFormat="1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1" fillId="0" borderId="2" xfId="5" applyFont="1" applyFill="1" applyBorder="1" applyAlignment="1">
      <alignment horizontal="left"/>
    </xf>
    <xf numFmtId="0" fontId="0" fillId="0" borderId="0" xfId="0" applyBorder="1">
      <alignment vertical="center"/>
    </xf>
    <xf numFmtId="0" fontId="12" fillId="0" borderId="0" xfId="0" applyFont="1" applyBorder="1" applyAlignment="1"/>
    <xf numFmtId="0" fontId="12" fillId="0" borderId="3" xfId="0" applyFont="1" applyBorder="1" applyAlignment="1"/>
    <xf numFmtId="42" fontId="12" fillId="0" borderId="1" xfId="12" applyFont="1" applyBorder="1" applyAlignment="1">
      <alignment horizontal="center" vertical="center"/>
    </xf>
    <xf numFmtId="186" fontId="12" fillId="0" borderId="1" xfId="0" applyNumberFormat="1" applyFont="1" applyBorder="1" applyAlignment="1">
      <alignment horizontal="center" vertical="center"/>
    </xf>
    <xf numFmtId="42" fontId="12" fillId="0" borderId="1" xfId="12" applyFont="1" applyFill="1" applyBorder="1" applyAlignment="1">
      <alignment horizontal="center" vertical="center"/>
    </xf>
    <xf numFmtId="187" fontId="0" fillId="0" borderId="1" xfId="0" applyNumberFormat="1" applyBorder="1" applyAlignment="1">
      <alignment horizontal="center" vertical="center"/>
    </xf>
    <xf numFmtId="41" fontId="0" fillId="0" borderId="1" xfId="11" applyFont="1" applyBorder="1" applyAlignment="1">
      <alignment horizontal="center" vertical="center"/>
    </xf>
    <xf numFmtId="0" fontId="0" fillId="0" borderId="1" xfId="0" applyNumberFormat="1" applyBorder="1" applyAlignment="1">
      <alignment horizontal="center"/>
    </xf>
    <xf numFmtId="0" fontId="0" fillId="0" borderId="0" xfId="0" applyNumberFormat="1" applyAlignment="1"/>
    <xf numFmtId="186" fontId="0" fillId="0" borderId="0" xfId="0" applyNumberFormat="1">
      <alignment vertical="center"/>
    </xf>
    <xf numFmtId="14" fontId="22" fillId="0" borderId="0" xfId="0" applyNumberFormat="1" applyFont="1" applyAlignment="1"/>
    <xf numFmtId="0" fontId="6" fillId="0" borderId="1" xfId="0" applyFont="1" applyBorder="1" applyAlignment="1">
      <alignment vertical="center"/>
    </xf>
    <xf numFmtId="41" fontId="6" fillId="0" borderId="1" xfId="11" applyFont="1" applyBorder="1" applyAlignment="1">
      <alignment vertical="center"/>
    </xf>
    <xf numFmtId="0" fontId="6" fillId="0" borderId="0" xfId="0" applyFont="1" applyAlignment="1"/>
    <xf numFmtId="0" fontId="12" fillId="0" borderId="0" xfId="0" applyFont="1" applyAlignment="1"/>
    <xf numFmtId="41" fontId="6" fillId="0" borderId="1" xfId="0" applyNumberFormat="1" applyFont="1" applyBorder="1" applyAlignment="1">
      <alignment vertical="center"/>
    </xf>
    <xf numFmtId="0" fontId="12" fillId="0" borderId="1" xfId="0" applyFont="1" applyBorder="1" applyAlignment="1"/>
    <xf numFmtId="0" fontId="6" fillId="0" borderId="1" xfId="0" applyFont="1" applyBorder="1" applyAlignment="1"/>
    <xf numFmtId="0" fontId="0" fillId="0" borderId="1" xfId="0" applyBorder="1" applyAlignment="1">
      <alignment horizontal="center"/>
    </xf>
    <xf numFmtId="0" fontId="6" fillId="0" borderId="0" xfId="13" applyFont="1"/>
    <xf numFmtId="0" fontId="2" fillId="0" borderId="0" xfId="13" applyFont="1"/>
    <xf numFmtId="0" fontId="12" fillId="0" borderId="1" xfId="0" applyFont="1" applyBorder="1">
      <alignment vertical="center"/>
    </xf>
    <xf numFmtId="0" fontId="24" fillId="0" borderId="1" xfId="0" applyFont="1" applyBorder="1">
      <alignment vertical="center"/>
    </xf>
    <xf numFmtId="188" fontId="24" fillId="0" borderId="1" xfId="0" applyNumberFormat="1" applyFont="1" applyBorder="1">
      <alignment vertical="center"/>
    </xf>
    <xf numFmtId="0" fontId="6" fillId="0" borderId="0" xfId="13" applyFont="1" applyBorder="1"/>
    <xf numFmtId="0" fontId="12" fillId="0" borderId="4" xfId="0" applyFont="1" applyBorder="1">
      <alignment vertical="center"/>
    </xf>
    <xf numFmtId="188" fontId="24" fillId="0" borderId="1" xfId="11" applyNumberFormat="1" applyFont="1" applyBorder="1" applyAlignment="1"/>
    <xf numFmtId="0" fontId="6" fillId="0" borderId="3" xfId="13" applyFont="1" applyBorder="1"/>
    <xf numFmtId="188" fontId="24" fillId="0" borderId="5" xfId="0" applyNumberFormat="1" applyFont="1" applyBorder="1">
      <alignment vertical="center"/>
    </xf>
    <xf numFmtId="0" fontId="24" fillId="0" borderId="1" xfId="0" applyFont="1" applyFill="1" applyBorder="1" applyAlignment="1">
      <alignment horizontal="center"/>
    </xf>
    <xf numFmtId="188" fontId="24" fillId="0" borderId="1" xfId="0" applyNumberFormat="1" applyFont="1" applyFill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12" fillId="0" borderId="1" xfId="0" applyNumberFormat="1" applyFont="1" applyBorder="1" applyAlignment="1"/>
    <xf numFmtId="0" fontId="6" fillId="0" borderId="1" xfId="0" applyNumberFormat="1" applyFont="1" applyBorder="1" applyAlignment="1"/>
    <xf numFmtId="0" fontId="6" fillId="0" borderId="0" xfId="0" applyFont="1" applyBorder="1" applyAlignment="1"/>
    <xf numFmtId="0" fontId="0" fillId="0" borderId="1" xfId="0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1" xfId="13" applyFont="1" applyBorder="1" applyAlignment="1">
      <alignment horizontal="center" vertical="center" wrapText="1"/>
    </xf>
    <xf numFmtId="0" fontId="6" fillId="0" borderId="1" xfId="13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</cellXfs>
  <cellStyles count="14">
    <cellStyle name="20% - 강조색1" xfId="7" builtinId="30"/>
    <cellStyle name="20% - 강조색2" xfId="8" builtinId="34"/>
    <cellStyle name="20% - 강조색3" xfId="9" builtinId="38"/>
    <cellStyle name="20% - 강조색4" xfId="10" builtinId="42"/>
    <cellStyle name="백분율 2" xfId="2"/>
    <cellStyle name="쉼표 [0]" xfId="11" builtinId="6"/>
    <cellStyle name="좋음" xfId="6" builtinId="26"/>
    <cellStyle name="통화 [0]" xfId="12" builtinId="7"/>
    <cellStyle name="표준" xfId="0" builtinId="0"/>
    <cellStyle name="표준 2" xfId="1"/>
    <cellStyle name="표준_기본작업-3" xfId="3"/>
    <cellStyle name="표준_상공회의소문제" xfId="13"/>
    <cellStyle name="표준_해외연수-2" xfId="5"/>
    <cellStyle name="하이퍼링크" xfId="4" builtinId="8"/>
  </cellStyles>
  <dxfs count="2">
    <dxf>
      <font>
        <color rgb="FF7030A0"/>
      </font>
    </dxf>
    <dxf>
      <fill>
        <patternFill patternType="solid">
          <bgColor theme="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1980년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150</c:v>
                </c:pt>
                <c:pt idx="1">
                  <c:v>230</c:v>
                </c:pt>
                <c:pt idx="2">
                  <c:v>533</c:v>
                </c:pt>
                <c:pt idx="3">
                  <c:v>512</c:v>
                </c:pt>
                <c:pt idx="4">
                  <c:v>542</c:v>
                </c:pt>
                <c:pt idx="5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11-425F-B885-9831DBF78D9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1990년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514</c:v>
                </c:pt>
                <c:pt idx="3">
                  <c:v>258</c:v>
                </c:pt>
                <c:pt idx="4">
                  <c:v>521</c:v>
                </c:pt>
                <c:pt idx="5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11-425F-B885-9831DBF78D95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Ellipse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9-7111-425F-B885-9831DBF78D9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111-425F-B885-9831DBF78D9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111-425F-B885-9831DBF78D9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111-425F-B885-9831DBF78D9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111-425F-B885-9831DBF78D9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111-425F-B885-9831DBF78D95}"/>
                </c:ext>
              </c:extLst>
            </c:dLbl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Ellipse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'기타작업-1'!$E$4:$E$9</c:f>
              <c:numCache>
                <c:formatCode>General</c:formatCode>
                <c:ptCount val="6"/>
                <c:pt idx="0">
                  <c:v>1350</c:v>
                </c:pt>
                <c:pt idx="1">
                  <c:v>450</c:v>
                </c:pt>
                <c:pt idx="2">
                  <c:v>1000</c:v>
                </c:pt>
                <c:pt idx="3">
                  <c:v>1200</c:v>
                </c:pt>
                <c:pt idx="4">
                  <c:v>950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111-425F-B885-9831DBF78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6771247"/>
        <c:axId val="1615438319"/>
      </c:barChart>
      <c:catAx>
        <c:axId val="1506771247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438319"/>
        <c:crossesAt val="400"/>
        <c:auto val="1"/>
        <c:lblAlgn val="ctr"/>
        <c:lblOffset val="100"/>
        <c:noMultiLvlLbl val="0"/>
      </c:catAx>
      <c:valAx>
        <c:axId val="1615438319"/>
        <c:scaling>
          <c:orientation val="minMax"/>
        </c:scaling>
        <c:delete val="0"/>
        <c:axPos val="r"/>
        <c:majorGridlines>
          <c:spPr>
            <a:ln w="12700" cap="flat" cmpd="sng" algn="ctr">
              <a:solidFill>
                <a:schemeClr val="tx2"/>
              </a:solidFill>
              <a:prstDash val="dash"/>
              <a:round/>
            </a:ln>
            <a:effectLst/>
          </c:spPr>
        </c:majorGridlines>
        <c:numFmt formatCode="General" sourceLinked="1"/>
        <c:majorTickMark val="cross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677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rgbClr val="FFFF00"/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alpha val="5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127000"/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20"/>
      <c:rotY val="30"/>
      <c:rAngAx val="0"/>
      <c:perspective val="60"/>
    </c:view3D>
    <c:floor>
      <c:thickness val="0"/>
      <c:spPr>
        <a:solidFill>
          <a:schemeClr val="accent6"/>
        </a:solidFill>
        <a:ln w="25400" cap="flat" cmpd="sng" algn="ctr">
          <a:solidFill>
            <a:schemeClr val="accent6">
              <a:shade val="50000"/>
            </a:schemeClr>
          </a:solidFill>
          <a:prstDash val="solid"/>
        </a:ln>
        <a:effectLst/>
        <a:sp3d contourW="25400">
          <a:contourClr>
            <a:schemeClr val="accent6">
              <a:shade val="50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1980년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'기타작업-1'!$C$4:$C$9</c:f>
              <c:numCache>
                <c:formatCode>General</c:formatCode>
                <c:ptCount val="6"/>
                <c:pt idx="0">
                  <c:v>150</c:v>
                </c:pt>
                <c:pt idx="1">
                  <c:v>230</c:v>
                </c:pt>
                <c:pt idx="2">
                  <c:v>533</c:v>
                </c:pt>
                <c:pt idx="3">
                  <c:v>512</c:v>
                </c:pt>
                <c:pt idx="4">
                  <c:v>542</c:v>
                </c:pt>
                <c:pt idx="5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6-476B-8E6A-8CDBAC4CFF65}"/>
            </c:ext>
          </c:extLst>
        </c:ser>
        <c:ser>
          <c:idx val="1"/>
          <c:order val="1"/>
          <c:tx>
            <c:strRef>
              <c:f>'기타작업-1'!$D$3</c:f>
              <c:strCache>
                <c:ptCount val="1"/>
                <c:pt idx="0">
                  <c:v>1990년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'기타작업-1'!$D$4:$D$9</c:f>
              <c:numCache>
                <c:formatCode>General</c:formatCode>
                <c:ptCount val="6"/>
                <c:pt idx="0">
                  <c:v>250</c:v>
                </c:pt>
                <c:pt idx="1">
                  <c:v>150</c:v>
                </c:pt>
                <c:pt idx="2">
                  <c:v>514</c:v>
                </c:pt>
                <c:pt idx="3">
                  <c:v>258</c:v>
                </c:pt>
                <c:pt idx="4">
                  <c:v>521</c:v>
                </c:pt>
                <c:pt idx="5">
                  <c:v>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6-476B-8E6A-8CDBAC4CFF65}"/>
            </c:ext>
          </c:extLst>
        </c:ser>
        <c:ser>
          <c:idx val="2"/>
          <c:order val="2"/>
          <c:tx>
            <c:strRef>
              <c:f>'기타작업-1'!$E$3</c:f>
              <c:strCache>
                <c:ptCount val="1"/>
                <c:pt idx="0">
                  <c:v>2010년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'기타작업-1'!$B$4:$B$9</c:f>
              <c:strCache>
                <c:ptCount val="6"/>
                <c:pt idx="0">
                  <c:v>중국</c:v>
                </c:pt>
                <c:pt idx="1">
                  <c:v>베트남</c:v>
                </c:pt>
                <c:pt idx="2">
                  <c:v>인도</c:v>
                </c:pt>
                <c:pt idx="3">
                  <c:v>스리랑카</c:v>
                </c:pt>
                <c:pt idx="4">
                  <c:v>일본</c:v>
                </c:pt>
                <c:pt idx="5">
                  <c:v>대만</c:v>
                </c:pt>
              </c:strCache>
            </c:strRef>
          </c:cat>
          <c:val>
            <c:numRef>
              <c:f>'기타작업-1'!$E$4:$E$9</c:f>
              <c:numCache>
                <c:formatCode>General</c:formatCode>
                <c:ptCount val="6"/>
                <c:pt idx="0">
                  <c:v>1350</c:v>
                </c:pt>
                <c:pt idx="1">
                  <c:v>450</c:v>
                </c:pt>
                <c:pt idx="2">
                  <c:v>1000</c:v>
                </c:pt>
                <c:pt idx="3">
                  <c:v>1200</c:v>
                </c:pt>
                <c:pt idx="4">
                  <c:v>950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36-476B-8E6A-8CDBAC4CF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1506771247"/>
        <c:axId val="1615438319"/>
        <c:axId val="0"/>
      </c:bar3DChart>
      <c:catAx>
        <c:axId val="1506771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15438319"/>
        <c:crosses val="autoZero"/>
        <c:auto val="1"/>
        <c:lblAlgn val="ctr"/>
        <c:lblOffset val="100"/>
        <c:noMultiLvlLbl val="0"/>
      </c:catAx>
      <c:valAx>
        <c:axId val="16154383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06771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solidFill>
          <a:srgbClr val="FFFF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209549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9</xdr:col>
      <xdr:colOff>0</xdr:colOff>
      <xdr:row>50</xdr:row>
      <xdr:rowOff>1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동호수적용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21</xdr:row>
      <xdr:rowOff>0</xdr:rowOff>
    </xdr:from>
    <xdr:to>
      <xdr:col>8</xdr:col>
      <xdr:colOff>0</xdr:colOff>
      <xdr:row>23</xdr:row>
      <xdr:rowOff>0</xdr:rowOff>
    </xdr:to>
    <xdr:sp macro="[0]!서식설정" textlink="">
      <xdr:nvSpPr>
        <xdr:cNvPr id="2" name="배지 1"/>
        <xdr:cNvSpPr/>
      </xdr:nvSpPr>
      <xdr:spPr>
        <a:xfrm>
          <a:off x="4133850" y="4400550"/>
          <a:ext cx="1371600" cy="419100"/>
        </a:xfrm>
        <a:prstGeom prst="plaqu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서식설정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10</xdr:row>
          <xdr:rowOff>123825</xdr:rowOff>
        </xdr:from>
        <xdr:to>
          <xdr:col>12</xdr:col>
          <xdr:colOff>257175</xdr:colOff>
          <xdr:row>13</xdr:row>
          <xdr:rowOff>76200</xdr:rowOff>
        </xdr:to>
        <xdr:sp macro="" textlink="">
          <xdr:nvSpPr>
            <xdr:cNvPr id="4097" name="Cmd자료입력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아이티버팀" refreshedDate="44210.523590277779" createdVersion="6" refreshedVersion="6" minRefreshableVersion="3" recordCount="20">
  <cacheSource type="external" connectionId="3"/>
  <cacheFields count="7">
    <cacheField name="번호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  <fieldGroup base="0">
        <rangePr autoStart="0" autoEnd="0" startNum="1" endNum="20" groupInterval="5"/>
        <groupItems count="6">
          <s v="&lt;1"/>
          <s v="1-5"/>
          <s v="6-10"/>
          <s v="11-15"/>
          <s v="16-20"/>
          <s v="&gt;21"/>
        </groupItems>
      </fieldGroup>
    </cacheField>
    <cacheField name="성명" numFmtId="0">
      <sharedItems count="20">
        <s v="강흥석"/>
        <s v="고수정"/>
        <s v="김경식"/>
        <s v="김경희"/>
        <s v="김기상"/>
        <s v="김세환"/>
        <s v="김수정"/>
        <s v="김진영"/>
        <s v="김태정"/>
        <s v="김한응"/>
        <s v="김형섭"/>
        <s v="남미경"/>
        <s v="도경민"/>
        <s v="문은아"/>
        <s v="민병철"/>
        <s v="박극준"/>
        <s v="박병훈"/>
        <s v="박상준"/>
        <s v="박영후"/>
        <s v="배대승"/>
      </sharedItems>
    </cacheField>
    <cacheField name="학년" numFmtId="0">
      <sharedItems containsSemiMixedTypes="0" containsString="0" containsNumber="1" containsInteger="1" minValue="2" maxValue="4" count="3">
        <n v="2"/>
        <n v="3"/>
        <n v="4"/>
      </sharedItems>
    </cacheField>
    <cacheField name="성별" numFmtId="0">
      <sharedItems count="2">
        <s v="남"/>
        <s v="여"/>
      </sharedItems>
    </cacheField>
    <cacheField name="필기" numFmtId="0">
      <sharedItems containsSemiMixedTypes="0" containsString="0" containsNumber="1" containsInteger="1" minValue="0" maxValue="5" count="6">
        <n v="1"/>
        <n v="2"/>
        <n v="4"/>
        <n v="5"/>
        <n v="3"/>
        <n v="0"/>
      </sharedItems>
    </cacheField>
    <cacheField name="실기" numFmtId="0">
      <sharedItems containsSemiMixedTypes="0" containsString="0" containsNumber="1" containsInteger="1" minValue="0" maxValue="15000" count="4">
        <n v="15000"/>
        <n v="10000"/>
        <n v="5000"/>
        <n v="0"/>
      </sharedItems>
    </cacheField>
    <cacheField name="실기평점" numFmtId="0" formula="실기/ 100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아이티버팀" refreshedDate="44210.628469560186" backgroundQuery="1" createdVersion="6" refreshedVersion="6" minRefreshableVersion="3" recordCount="0" supportSubquery="1" supportAdvancedDrill="1">
  <cacheSource type="external" connectionId="1"/>
  <cacheFields count="2">
    <cacheField name="[과목평점].[과목명].[과목명]" caption="과목명" numFmtId="0" hierarchy="1" level="1">
      <sharedItems count="12">
        <s v="ERP"/>
        <s v="e-비즈니스전략"/>
        <s v="Visual Basic"/>
        <s v="XML"/>
        <s v="교양영어"/>
        <s v="교양윤리"/>
        <s v="교양체육"/>
        <s v="멀티미디어 실습"/>
        <s v="시스템분석설계"/>
        <s v="영어회화"/>
        <s v="전자상거래 관리론"/>
        <s v="정보처리실습"/>
      </sharedItems>
    </cacheField>
    <cacheField name="[Measures].[평균: 강의]" caption="평균: 강의" numFmtId="0" hierarchy="6" level="32767"/>
  </cacheFields>
  <cacheHierarchies count="7">
    <cacheHierarchy uniqueName="[과목평점].[구분]" caption="구분" attribute="1" defaultMemberUniqueName="[과목평점].[구분].[All]" allUniqueName="[과목평점].[구분].[All]" dimensionUniqueName="[과목평점]" displayFolder="" count="0" memberValueDatatype="130" unbalanced="0"/>
    <cacheHierarchy uniqueName="[과목평점].[과목명]" caption="과목명" attribute="1" defaultMemberUniqueName="[과목평점].[과목명].[All]" allUniqueName="[과목평점].[과목명].[All]" dimensionUniqueName="[과목평점]" displayFolder="" count="2" memberValueDatatype="130" unbalanced="0">
      <fieldsUsage count="2">
        <fieldUsage x="-1"/>
        <fieldUsage x="0"/>
      </fieldsUsage>
    </cacheHierarchy>
    <cacheHierarchy uniqueName="[과목평점].[강의]" caption="강의" attribute="1" defaultMemberUniqueName="[과목평점].[강의].[All]" allUniqueName="[과목평점].[강의].[All]" dimensionUniqueName="[과목평점]" displayFolder="" count="0" memberValueDatatype="20" unbalanced="0"/>
    <cacheHierarchy uniqueName="[Measures].[__XL_Count 과목평점]" caption="__XL_Count 과목평점" measure="1" displayFolder="" measureGroup="과목평점" count="0" hidden="1"/>
    <cacheHierarchy uniqueName="[Measures].[__No measures defined]" caption="__No measures defined" measure="1" displayFolder="" count="0" hidden="1"/>
    <cacheHierarchy uniqueName="[Measures].[합계: 강의]" caption="합계: 강의" measure="1" displayFolder="" measureGroup="과목평점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평균: 강의]" caption="평균: 강의" measure="1" displayFolder="" measureGroup="과목평점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2">
    <dimension measure="1" name="Measures" uniqueName="[Measures]" caption="Measures"/>
    <dimension name="과목평점" uniqueName="[과목평점]" caption="과목평점"/>
  </dimensions>
  <measureGroups count="1">
    <measureGroup name="과목평점" caption="과목평점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  <x v="0"/>
    <x v="0"/>
    <x v="0"/>
    <x v="0"/>
  </r>
  <r>
    <x v="1"/>
    <x v="1"/>
    <x v="1"/>
    <x v="1"/>
    <x v="0"/>
    <x v="0"/>
  </r>
  <r>
    <x v="2"/>
    <x v="2"/>
    <x v="0"/>
    <x v="0"/>
    <x v="0"/>
    <x v="0"/>
  </r>
  <r>
    <x v="3"/>
    <x v="3"/>
    <x v="0"/>
    <x v="1"/>
    <x v="0"/>
    <x v="0"/>
  </r>
  <r>
    <x v="4"/>
    <x v="4"/>
    <x v="0"/>
    <x v="0"/>
    <x v="0"/>
    <x v="0"/>
  </r>
  <r>
    <x v="5"/>
    <x v="5"/>
    <x v="0"/>
    <x v="0"/>
    <x v="1"/>
    <x v="1"/>
  </r>
  <r>
    <x v="6"/>
    <x v="6"/>
    <x v="0"/>
    <x v="1"/>
    <x v="1"/>
    <x v="1"/>
  </r>
  <r>
    <x v="7"/>
    <x v="7"/>
    <x v="0"/>
    <x v="1"/>
    <x v="1"/>
    <x v="1"/>
  </r>
  <r>
    <x v="8"/>
    <x v="8"/>
    <x v="2"/>
    <x v="0"/>
    <x v="1"/>
    <x v="1"/>
  </r>
  <r>
    <x v="9"/>
    <x v="9"/>
    <x v="1"/>
    <x v="0"/>
    <x v="1"/>
    <x v="1"/>
  </r>
  <r>
    <x v="10"/>
    <x v="10"/>
    <x v="1"/>
    <x v="0"/>
    <x v="2"/>
    <x v="2"/>
  </r>
  <r>
    <x v="11"/>
    <x v="11"/>
    <x v="0"/>
    <x v="1"/>
    <x v="3"/>
    <x v="2"/>
  </r>
  <r>
    <x v="12"/>
    <x v="12"/>
    <x v="1"/>
    <x v="1"/>
    <x v="4"/>
    <x v="2"/>
  </r>
  <r>
    <x v="13"/>
    <x v="13"/>
    <x v="0"/>
    <x v="1"/>
    <x v="1"/>
    <x v="2"/>
  </r>
  <r>
    <x v="14"/>
    <x v="14"/>
    <x v="1"/>
    <x v="0"/>
    <x v="5"/>
    <x v="3"/>
  </r>
  <r>
    <x v="15"/>
    <x v="15"/>
    <x v="1"/>
    <x v="0"/>
    <x v="5"/>
    <x v="3"/>
  </r>
  <r>
    <x v="16"/>
    <x v="16"/>
    <x v="0"/>
    <x v="0"/>
    <x v="5"/>
    <x v="3"/>
  </r>
  <r>
    <x v="17"/>
    <x v="17"/>
    <x v="1"/>
    <x v="0"/>
    <x v="5"/>
    <x v="3"/>
  </r>
  <r>
    <x v="18"/>
    <x v="18"/>
    <x v="0"/>
    <x v="0"/>
    <x v="5"/>
    <x v="3"/>
  </r>
  <r>
    <x v="19"/>
    <x v="19"/>
    <x v="1"/>
    <x v="0"/>
    <x v="5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4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>
  <location ref="B26:C39" firstHeaderRow="1" firstDataRow="1" firstDataCol="1"/>
  <pivotFields count="2">
    <pivotField axis="axisRow" compact="0" allDrilled="1" outline="0" showAll="0" dataSourceSort="1" defaultAttributeDrillState="1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compact="0" outline="0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평균: 강의" fld="1" subtotal="average" baseField="0" baseItem="3" numFmtId="179"/>
  </dataFields>
  <pivotHierarchies count="7"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 caption="평균: 강의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과목평점">
        <x15:activeTabTopLevelEntity name="[과목평점]"/>
      </x15:pivotTableUISettings>
    </ext>
  </extLst>
</pivotTableDefinition>
</file>

<file path=xl/pivotTables/pivotTable2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compactData="0" multipleFieldFilters="0" fieldListSortAscending="1">
  <location ref="B4:E9" firstHeaderRow="0" firstDataRow="1" firstDataCol="1"/>
  <pivotFields count="7"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dragToRow="0" dragToCol="0" dragToPage="0" showAll="0" defaultSubtotal="0"/>
  </pivotFields>
  <rowFields count="1">
    <field x="0"/>
  </rowFields>
  <rowItems count="5">
    <i>
      <x v="1"/>
    </i>
    <i>
      <x v="2"/>
    </i>
    <i>
      <x v="3"/>
    </i>
    <i>
      <x v="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평균 : 필기" fld="4" subtotal="average" baseField="0" baseItem="3" numFmtId="178"/>
    <dataField name="평균 : 실기" fld="5" subtotal="average" baseField="0" baseItem="2" numFmtId="177"/>
    <dataField name="합계 : 실기평점" fld="6" baseField="0" baseItem="0"/>
  </dataField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mailto:kji04@gmail.com" TargetMode="External"/><Relationship Id="rId3" Type="http://schemas.openxmlformats.org/officeDocument/2006/relationships/hyperlink" Target="mailto:99013@gmail.com" TargetMode="External"/><Relationship Id="rId7" Type="http://schemas.openxmlformats.org/officeDocument/2006/relationships/hyperlink" Target="mailto:tenaa12@daum.net" TargetMode="External"/><Relationship Id="rId2" Type="http://schemas.openxmlformats.org/officeDocument/2006/relationships/hyperlink" Target="mailto:star33k@nate.com" TargetMode="External"/><Relationship Id="rId1" Type="http://schemas.openxmlformats.org/officeDocument/2006/relationships/hyperlink" Target="mailto:mssea@nate.com" TargetMode="External"/><Relationship Id="rId6" Type="http://schemas.openxmlformats.org/officeDocument/2006/relationships/hyperlink" Target="mailto:0dd8ar@naver.com" TargetMode="External"/><Relationship Id="rId5" Type="http://schemas.openxmlformats.org/officeDocument/2006/relationships/hyperlink" Target="mailto:newl22@naver.com" TargetMode="External"/><Relationship Id="rId10" Type="http://schemas.openxmlformats.org/officeDocument/2006/relationships/printerSettings" Target="../printerSettings/printerSettings7.bin"/><Relationship Id="rId4" Type="http://schemas.openxmlformats.org/officeDocument/2006/relationships/hyperlink" Target="mailto:ys121es@daum.net" TargetMode="External"/><Relationship Id="rId9" Type="http://schemas.openxmlformats.org/officeDocument/2006/relationships/hyperlink" Target="mailto:ldd34@naver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I42"/>
  <sheetViews>
    <sheetView tabSelected="1" workbookViewId="0">
      <selection activeCell="E47" sqref="E47"/>
    </sheetView>
  </sheetViews>
  <sheetFormatPr defaultRowHeight="16.5"/>
  <cols>
    <col min="4" max="4" width="11.125" bestFit="1" customWidth="1"/>
    <col min="5" max="5" width="17.375" customWidth="1"/>
    <col min="9" max="9" width="10.875" customWidth="1"/>
  </cols>
  <sheetData>
    <row r="2" spans="2:9">
      <c r="B2" t="s">
        <v>126</v>
      </c>
    </row>
    <row r="3" spans="2:9">
      <c r="B3" s="50" t="s">
        <v>60</v>
      </c>
      <c r="C3" s="50" t="s">
        <v>35</v>
      </c>
      <c r="D3" s="50" t="s">
        <v>268</v>
      </c>
      <c r="E3" s="50" t="s">
        <v>269</v>
      </c>
      <c r="F3" s="50" t="s">
        <v>270</v>
      </c>
      <c r="G3" s="50" t="s">
        <v>271</v>
      </c>
      <c r="H3" s="50" t="s">
        <v>272</v>
      </c>
      <c r="I3" s="50" t="s">
        <v>273</v>
      </c>
    </row>
    <row r="4" spans="2:9">
      <c r="B4" s="51" t="s">
        <v>274</v>
      </c>
      <c r="C4" s="51" t="s">
        <v>175</v>
      </c>
      <c r="D4" s="52">
        <v>42736</v>
      </c>
      <c r="E4" s="47" t="s">
        <v>275</v>
      </c>
      <c r="F4" s="47"/>
      <c r="G4" s="47"/>
      <c r="H4" s="53"/>
      <c r="I4" s="21">
        <v>0.02</v>
      </c>
    </row>
    <row r="5" spans="2:9">
      <c r="B5" s="51" t="s">
        <v>67</v>
      </c>
      <c r="C5" s="51" t="s">
        <v>176</v>
      </c>
      <c r="D5" s="52">
        <v>42737</v>
      </c>
      <c r="E5" s="47"/>
      <c r="F5" s="47" t="s">
        <v>275</v>
      </c>
      <c r="G5" s="47" t="s">
        <v>275</v>
      </c>
      <c r="H5" s="53"/>
      <c r="I5" s="21">
        <v>0.02</v>
      </c>
    </row>
    <row r="6" spans="2:9">
      <c r="B6" s="51" t="s">
        <v>71</v>
      </c>
      <c r="C6" s="51" t="s">
        <v>177</v>
      </c>
      <c r="D6" s="52">
        <v>42738</v>
      </c>
      <c r="E6" s="47" t="s">
        <v>275</v>
      </c>
      <c r="F6" s="47" t="s">
        <v>275</v>
      </c>
      <c r="G6" s="47" t="s">
        <v>275</v>
      </c>
      <c r="H6" s="47" t="s">
        <v>275</v>
      </c>
      <c r="I6" s="21">
        <v>0.02</v>
      </c>
    </row>
    <row r="7" spans="2:9">
      <c r="B7" s="51" t="s">
        <v>75</v>
      </c>
      <c r="C7" s="51" t="s">
        <v>179</v>
      </c>
      <c r="D7" s="52">
        <v>42739</v>
      </c>
      <c r="E7" s="47" t="s">
        <v>275</v>
      </c>
      <c r="F7" s="47" t="s">
        <v>275</v>
      </c>
      <c r="G7" s="47"/>
      <c r="H7" s="53"/>
      <c r="I7" s="21">
        <v>0.02</v>
      </c>
    </row>
    <row r="8" spans="2:9">
      <c r="B8" s="51" t="s">
        <v>79</v>
      </c>
      <c r="C8" s="51" t="s">
        <v>276</v>
      </c>
      <c r="D8" s="52">
        <v>42740</v>
      </c>
      <c r="E8" s="47" t="s">
        <v>275</v>
      </c>
      <c r="F8" s="47" t="s">
        <v>275</v>
      </c>
      <c r="G8" s="47" t="s">
        <v>275</v>
      </c>
      <c r="H8" s="53"/>
      <c r="I8" s="21">
        <v>0.02</v>
      </c>
    </row>
    <row r="9" spans="2:9">
      <c r="B9" s="51" t="s">
        <v>83</v>
      </c>
      <c r="C9" s="51" t="s">
        <v>277</v>
      </c>
      <c r="D9" s="52">
        <v>42741</v>
      </c>
      <c r="E9" s="47" t="s">
        <v>275</v>
      </c>
      <c r="F9" s="47"/>
      <c r="G9" s="47" t="s">
        <v>275</v>
      </c>
      <c r="H9" s="53"/>
      <c r="I9" s="21">
        <v>0.03</v>
      </c>
    </row>
    <row r="10" spans="2:9">
      <c r="B10" s="51" t="s">
        <v>87</v>
      </c>
      <c r="C10" s="51" t="s">
        <v>186</v>
      </c>
      <c r="D10" s="52">
        <v>42742</v>
      </c>
      <c r="E10" s="47" t="s">
        <v>275</v>
      </c>
      <c r="F10" s="47"/>
      <c r="G10" s="47"/>
      <c r="H10" s="53"/>
      <c r="I10" s="21">
        <v>0.03</v>
      </c>
    </row>
    <row r="11" spans="2:9">
      <c r="B11" s="51" t="s">
        <v>91</v>
      </c>
      <c r="C11" s="51" t="s">
        <v>278</v>
      </c>
      <c r="D11" s="52">
        <v>42743</v>
      </c>
      <c r="E11" s="47"/>
      <c r="F11" s="47" t="s">
        <v>275</v>
      </c>
      <c r="G11" s="47" t="s">
        <v>275</v>
      </c>
      <c r="H11" s="53"/>
      <c r="I11" s="21">
        <v>0.03</v>
      </c>
    </row>
    <row r="12" spans="2:9">
      <c r="B12" s="51" t="s">
        <v>95</v>
      </c>
      <c r="C12" s="51" t="s">
        <v>279</v>
      </c>
      <c r="D12" s="52">
        <v>42744</v>
      </c>
      <c r="E12" s="47" t="s">
        <v>275</v>
      </c>
      <c r="F12" s="47" t="s">
        <v>275</v>
      </c>
      <c r="G12" s="47" t="s">
        <v>275</v>
      </c>
      <c r="H12" s="47" t="s">
        <v>275</v>
      </c>
      <c r="I12" s="21">
        <v>0.03</v>
      </c>
    </row>
    <row r="13" spans="2:9">
      <c r="B13" s="51" t="s">
        <v>151</v>
      </c>
      <c r="C13" s="51" t="s">
        <v>189</v>
      </c>
      <c r="D13" s="52">
        <v>42745</v>
      </c>
      <c r="E13" s="47" t="s">
        <v>275</v>
      </c>
      <c r="F13" s="47" t="s">
        <v>275</v>
      </c>
      <c r="G13" s="47"/>
      <c r="H13" s="53"/>
      <c r="I13" s="21">
        <v>0.03</v>
      </c>
    </row>
    <row r="14" spans="2:9">
      <c r="B14" s="51" t="s">
        <v>232</v>
      </c>
      <c r="C14" s="51" t="s">
        <v>280</v>
      </c>
      <c r="D14" s="52">
        <v>43101</v>
      </c>
      <c r="E14" s="47" t="s">
        <v>275</v>
      </c>
      <c r="F14" s="47" t="s">
        <v>275</v>
      </c>
      <c r="G14" s="47" t="s">
        <v>275</v>
      </c>
      <c r="H14" s="53"/>
      <c r="I14" s="21">
        <v>0.02</v>
      </c>
    </row>
    <row r="15" spans="2:9">
      <c r="B15" s="51" t="s">
        <v>234</v>
      </c>
      <c r="C15" s="51" t="s">
        <v>281</v>
      </c>
      <c r="D15" s="52">
        <v>43102</v>
      </c>
      <c r="E15" s="47" t="s">
        <v>275</v>
      </c>
      <c r="F15" s="47"/>
      <c r="G15" s="47" t="s">
        <v>275</v>
      </c>
      <c r="H15" s="53"/>
      <c r="I15" s="21">
        <v>0.02</v>
      </c>
    </row>
    <row r="16" spans="2:9">
      <c r="B16" s="51" t="s">
        <v>237</v>
      </c>
      <c r="C16" s="51" t="s">
        <v>282</v>
      </c>
      <c r="D16" s="52">
        <v>43103</v>
      </c>
      <c r="E16" s="47" t="s">
        <v>275</v>
      </c>
      <c r="F16" s="47"/>
      <c r="G16" s="47" t="s">
        <v>275</v>
      </c>
      <c r="H16" s="53"/>
      <c r="I16" s="21">
        <v>0.02</v>
      </c>
    </row>
    <row r="17" spans="2:9">
      <c r="B17" s="51" t="s">
        <v>240</v>
      </c>
      <c r="C17" s="51" t="s">
        <v>283</v>
      </c>
      <c r="D17" s="52">
        <v>43104</v>
      </c>
      <c r="E17" s="47"/>
      <c r="F17" s="47" t="s">
        <v>275</v>
      </c>
      <c r="G17" s="47" t="s">
        <v>275</v>
      </c>
      <c r="H17" s="53"/>
      <c r="I17" s="21">
        <v>0.02</v>
      </c>
    </row>
    <row r="18" spans="2:9">
      <c r="B18" s="51" t="s">
        <v>242</v>
      </c>
      <c r="C18" s="51" t="s">
        <v>284</v>
      </c>
      <c r="D18" s="52">
        <v>43105</v>
      </c>
      <c r="E18" s="47" t="s">
        <v>275</v>
      </c>
      <c r="F18" s="47" t="s">
        <v>275</v>
      </c>
      <c r="G18" s="47" t="s">
        <v>275</v>
      </c>
      <c r="H18" s="47" t="s">
        <v>275</v>
      </c>
      <c r="I18" s="21">
        <v>0.02</v>
      </c>
    </row>
    <row r="19" spans="2:9">
      <c r="B19" s="51" t="s">
        <v>285</v>
      </c>
      <c r="C19" s="9" t="s">
        <v>216</v>
      </c>
      <c r="D19" s="52">
        <v>43106</v>
      </c>
      <c r="E19" s="47" t="s">
        <v>275</v>
      </c>
      <c r="F19" s="47" t="s">
        <v>275</v>
      </c>
      <c r="G19" s="47"/>
      <c r="H19" s="53"/>
      <c r="I19" s="21">
        <v>0.03</v>
      </c>
    </row>
    <row r="20" spans="2:9">
      <c r="B20" s="51" t="s">
        <v>286</v>
      </c>
      <c r="C20" s="9" t="s">
        <v>218</v>
      </c>
      <c r="D20" s="52">
        <v>43107</v>
      </c>
      <c r="E20" s="47" t="s">
        <v>275</v>
      </c>
      <c r="F20" s="47" t="s">
        <v>275</v>
      </c>
      <c r="G20" s="47" t="s">
        <v>275</v>
      </c>
      <c r="H20" s="53"/>
      <c r="I20" s="21">
        <v>0.03</v>
      </c>
    </row>
    <row r="21" spans="2:9">
      <c r="B21" s="51" t="s">
        <v>287</v>
      </c>
      <c r="C21" s="9" t="s">
        <v>220</v>
      </c>
      <c r="D21" s="52">
        <v>43108</v>
      </c>
      <c r="E21" s="47" t="s">
        <v>275</v>
      </c>
      <c r="F21" s="47"/>
      <c r="G21" s="47" t="s">
        <v>275</v>
      </c>
      <c r="H21" s="53"/>
      <c r="I21" s="21">
        <v>0.03</v>
      </c>
    </row>
    <row r="22" spans="2:9">
      <c r="B22" s="51" t="s">
        <v>288</v>
      </c>
      <c r="C22" s="9" t="s">
        <v>121</v>
      </c>
      <c r="D22" s="52">
        <v>43109</v>
      </c>
      <c r="E22" s="47" t="s">
        <v>275</v>
      </c>
      <c r="F22" s="47" t="s">
        <v>275</v>
      </c>
      <c r="G22" s="47" t="s">
        <v>275</v>
      </c>
      <c r="H22" s="47" t="s">
        <v>275</v>
      </c>
      <c r="I22" s="21">
        <v>0.03</v>
      </c>
    </row>
    <row r="23" spans="2:9">
      <c r="B23" s="51" t="s">
        <v>289</v>
      </c>
      <c r="C23" s="9" t="s">
        <v>224</v>
      </c>
      <c r="D23" s="52">
        <v>43110</v>
      </c>
      <c r="E23" s="47" t="s">
        <v>275</v>
      </c>
      <c r="F23" s="47" t="s">
        <v>275</v>
      </c>
      <c r="G23" s="47"/>
      <c r="H23" s="53"/>
      <c r="I23" s="21">
        <v>0.03</v>
      </c>
    </row>
    <row r="24" spans="2:9">
      <c r="B24" s="51" t="s">
        <v>290</v>
      </c>
      <c r="C24" s="9" t="s">
        <v>226</v>
      </c>
      <c r="D24" s="54">
        <v>43466</v>
      </c>
      <c r="E24" s="47" t="s">
        <v>275</v>
      </c>
      <c r="F24" s="47" t="s">
        <v>275</v>
      </c>
      <c r="G24" s="47" t="s">
        <v>275</v>
      </c>
      <c r="H24" s="47" t="s">
        <v>275</v>
      </c>
      <c r="I24" s="21">
        <v>0.02</v>
      </c>
    </row>
    <row r="25" spans="2:9">
      <c r="B25" s="51" t="s">
        <v>291</v>
      </c>
      <c r="C25" s="9" t="s">
        <v>228</v>
      </c>
      <c r="D25" s="54">
        <v>43467</v>
      </c>
      <c r="E25" s="47" t="s">
        <v>275</v>
      </c>
      <c r="F25" s="47"/>
      <c r="G25" s="47" t="s">
        <v>275</v>
      </c>
      <c r="H25" s="53"/>
      <c r="I25" s="21">
        <v>0.02</v>
      </c>
    </row>
    <row r="26" spans="2:9">
      <c r="B26" s="51" t="s">
        <v>292</v>
      </c>
      <c r="C26" s="9" t="s">
        <v>142</v>
      </c>
      <c r="D26" s="54">
        <v>43468</v>
      </c>
      <c r="E26" s="47" t="s">
        <v>275</v>
      </c>
      <c r="F26" s="47"/>
      <c r="G26" s="47" t="s">
        <v>275</v>
      </c>
      <c r="H26" s="53"/>
      <c r="I26" s="21">
        <v>0.02</v>
      </c>
    </row>
    <row r="27" spans="2:9">
      <c r="B27" s="51" t="s">
        <v>293</v>
      </c>
      <c r="C27" s="9" t="s">
        <v>143</v>
      </c>
      <c r="D27" s="54">
        <v>43469</v>
      </c>
      <c r="E27" s="47"/>
      <c r="F27" s="47" t="s">
        <v>275</v>
      </c>
      <c r="G27" s="47" t="s">
        <v>275</v>
      </c>
      <c r="H27" s="53"/>
      <c r="I27" s="21">
        <v>0.02</v>
      </c>
    </row>
    <row r="28" spans="2:9">
      <c r="B28" s="51" t="s">
        <v>294</v>
      </c>
      <c r="C28" s="9" t="s">
        <v>144</v>
      </c>
      <c r="D28" s="54">
        <v>43470</v>
      </c>
      <c r="E28" s="47" t="s">
        <v>275</v>
      </c>
      <c r="F28" s="47" t="s">
        <v>275</v>
      </c>
      <c r="G28" s="47" t="s">
        <v>275</v>
      </c>
      <c r="H28" s="47"/>
      <c r="I28" s="21">
        <v>0.02</v>
      </c>
    </row>
    <row r="29" spans="2:9">
      <c r="B29" s="51" t="s">
        <v>295</v>
      </c>
      <c r="C29" s="9" t="s">
        <v>145</v>
      </c>
      <c r="D29" s="54">
        <v>43471</v>
      </c>
      <c r="E29" s="47" t="s">
        <v>275</v>
      </c>
      <c r="F29" s="47" t="s">
        <v>275</v>
      </c>
      <c r="G29" s="47"/>
      <c r="H29" s="53"/>
      <c r="I29" s="21">
        <v>0.03</v>
      </c>
    </row>
    <row r="30" spans="2:9">
      <c r="B30" s="51" t="s">
        <v>296</v>
      </c>
      <c r="C30" s="9" t="s">
        <v>236</v>
      </c>
      <c r="D30" s="54">
        <v>43472</v>
      </c>
      <c r="E30" s="47" t="s">
        <v>275</v>
      </c>
      <c r="F30" s="47" t="s">
        <v>275</v>
      </c>
      <c r="G30" s="47" t="s">
        <v>275</v>
      </c>
      <c r="H30" s="53"/>
      <c r="I30" s="21">
        <v>0.03</v>
      </c>
    </row>
    <row r="31" spans="2:9">
      <c r="B31" s="51" t="s">
        <v>297</v>
      </c>
      <c r="C31" s="9" t="s">
        <v>239</v>
      </c>
      <c r="D31" s="54">
        <v>43473</v>
      </c>
      <c r="E31" s="47" t="s">
        <v>275</v>
      </c>
      <c r="F31" s="47" t="s">
        <v>275</v>
      </c>
      <c r="G31" s="47"/>
      <c r="H31" s="53"/>
      <c r="I31" s="21">
        <v>0.03</v>
      </c>
    </row>
    <row r="32" spans="2:9">
      <c r="B32" s="51" t="s">
        <v>298</v>
      </c>
      <c r="C32" s="9" t="s">
        <v>148</v>
      </c>
      <c r="D32" s="54">
        <v>43474</v>
      </c>
      <c r="E32" s="47" t="s">
        <v>275</v>
      </c>
      <c r="F32" s="47" t="s">
        <v>275</v>
      </c>
      <c r="G32" s="47" t="s">
        <v>275</v>
      </c>
      <c r="H32" s="53"/>
      <c r="I32" s="21">
        <v>0.03</v>
      </c>
    </row>
    <row r="33" spans="2:9">
      <c r="B33" s="51" t="s">
        <v>299</v>
      </c>
      <c r="C33" s="9" t="s">
        <v>150</v>
      </c>
      <c r="D33" s="54">
        <v>43475</v>
      </c>
      <c r="E33" s="47"/>
      <c r="F33" s="47" t="s">
        <v>275</v>
      </c>
      <c r="G33" s="47" t="s">
        <v>275</v>
      </c>
      <c r="H33" s="47" t="s">
        <v>275</v>
      </c>
      <c r="I33" s="21">
        <v>0.03</v>
      </c>
    </row>
    <row r="35" spans="2:9">
      <c r="B35" s="56" t="s">
        <v>303</v>
      </c>
      <c r="D35" t="s">
        <v>304</v>
      </c>
      <c r="F35" s="55" t="s">
        <v>300</v>
      </c>
      <c r="G35" s="55" t="s">
        <v>301</v>
      </c>
      <c r="H35" t="s">
        <v>302</v>
      </c>
    </row>
    <row r="36" spans="2:9">
      <c r="B36" t="b">
        <f>AND(COUNTA(E4:H4)=4, OR(YEAR(D4)=2017, YEAR(D4)=2019))</f>
        <v>0</v>
      </c>
      <c r="D36" t="b">
        <f>COUNTIF(E4:H4,"○")=4</f>
        <v>0</v>
      </c>
      <c r="F36" t="b">
        <f>COUNTA(E4:H4)=4</f>
        <v>0</v>
      </c>
      <c r="G36" t="b">
        <f>YEAR(D4)=2017</f>
        <v>1</v>
      </c>
    </row>
    <row r="37" spans="2:9">
      <c r="F37" t="b">
        <f>COUNTA(E4:H4)=4</f>
        <v>0</v>
      </c>
      <c r="H37" t="b">
        <f>YEAR(D4)=2019</f>
        <v>0</v>
      </c>
    </row>
    <row r="39" spans="2:9">
      <c r="B39" t="s">
        <v>60</v>
      </c>
      <c r="C39" s="50" t="s">
        <v>35</v>
      </c>
      <c r="D39" s="50" t="s">
        <v>273</v>
      </c>
      <c r="E39" s="50" t="s">
        <v>268</v>
      </c>
    </row>
    <row r="40" spans="2:9">
      <c r="B40" s="51" t="s">
        <v>71</v>
      </c>
      <c r="C40" s="51" t="s">
        <v>177</v>
      </c>
      <c r="D40" s="21">
        <v>0.02</v>
      </c>
      <c r="E40" s="52">
        <v>42738</v>
      </c>
    </row>
    <row r="41" spans="2:9">
      <c r="B41" s="51" t="s">
        <v>95</v>
      </c>
      <c r="C41" s="51" t="s">
        <v>279</v>
      </c>
      <c r="D41" s="21">
        <v>0.03</v>
      </c>
      <c r="E41" s="52">
        <v>42744</v>
      </c>
    </row>
    <row r="42" spans="2:9">
      <c r="B42" s="51" t="s">
        <v>290</v>
      </c>
      <c r="C42" s="9" t="s">
        <v>226</v>
      </c>
      <c r="D42" s="21">
        <v>0.02</v>
      </c>
      <c r="E42" s="54">
        <v>43466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I28"/>
  <sheetViews>
    <sheetView topLeftCell="B1" workbookViewId="0">
      <selection activeCell="G34" sqref="G34"/>
    </sheetView>
  </sheetViews>
  <sheetFormatPr defaultColWidth="8" defaultRowHeight="16.5"/>
  <cols>
    <col min="2" max="2" width="7.75" customWidth="1"/>
    <col min="3" max="3" width="10.25" customWidth="1"/>
    <col min="4" max="4" width="8.5" customWidth="1"/>
    <col min="5" max="5" width="7.625" customWidth="1"/>
    <col min="6" max="6" width="9.375" customWidth="1"/>
    <col min="7" max="9" width="10.25" customWidth="1"/>
    <col min="10" max="10" width="9.75" customWidth="1"/>
    <col min="11" max="16" width="6.75" customWidth="1"/>
    <col min="17" max="22" width="7.25" customWidth="1"/>
  </cols>
  <sheetData>
    <row r="1" spans="3:9">
      <c r="C1" t="s">
        <v>305</v>
      </c>
    </row>
    <row r="2" spans="3:9">
      <c r="C2" s="24" t="s">
        <v>60</v>
      </c>
      <c r="D2" s="57" t="s">
        <v>306</v>
      </c>
      <c r="E2" s="57" t="s">
        <v>307</v>
      </c>
      <c r="F2" s="57" t="s">
        <v>308</v>
      </c>
      <c r="G2" s="57" t="s">
        <v>309</v>
      </c>
      <c r="H2" s="57" t="s">
        <v>310</v>
      </c>
      <c r="I2" s="57" t="s">
        <v>311</v>
      </c>
    </row>
    <row r="3" spans="3:9">
      <c r="C3" s="23">
        <v>1</v>
      </c>
      <c r="D3" s="58" t="s">
        <v>312</v>
      </c>
      <c r="E3" s="58" t="s">
        <v>313</v>
      </c>
      <c r="F3" s="47">
        <v>99</v>
      </c>
      <c r="G3" s="47">
        <v>70</v>
      </c>
      <c r="H3" s="47">
        <v>90</v>
      </c>
      <c r="I3" s="23">
        <f>F3+G3+H3</f>
        <v>259</v>
      </c>
    </row>
    <row r="4" spans="3:9">
      <c r="C4" s="23">
        <v>2</v>
      </c>
      <c r="D4" s="58" t="s">
        <v>314</v>
      </c>
      <c r="E4" s="58" t="s">
        <v>315</v>
      </c>
      <c r="F4" s="47">
        <v>90</v>
      </c>
      <c r="G4" s="47">
        <v>80</v>
      </c>
      <c r="H4" s="47">
        <v>90</v>
      </c>
      <c r="I4" s="23">
        <f t="shared" ref="I4:I28" si="0">F4+G4+H4</f>
        <v>260</v>
      </c>
    </row>
    <row r="5" spans="3:9">
      <c r="C5" s="23">
        <v>3</v>
      </c>
      <c r="D5" s="58" t="s">
        <v>316</v>
      </c>
      <c r="E5" s="58" t="s">
        <v>313</v>
      </c>
      <c r="F5" s="47">
        <v>81</v>
      </c>
      <c r="G5" s="47">
        <v>86</v>
      </c>
      <c r="H5" s="47">
        <v>87</v>
      </c>
      <c r="I5" s="23">
        <f t="shared" si="0"/>
        <v>254</v>
      </c>
    </row>
    <row r="6" spans="3:9">
      <c r="C6" s="23">
        <v>4</v>
      </c>
      <c r="D6" s="58" t="s">
        <v>317</v>
      </c>
      <c r="E6" s="58" t="s">
        <v>318</v>
      </c>
      <c r="F6" s="47">
        <v>97</v>
      </c>
      <c r="G6" s="47">
        <v>99</v>
      </c>
      <c r="H6" s="47">
        <v>90</v>
      </c>
      <c r="I6" s="23">
        <f t="shared" si="0"/>
        <v>286</v>
      </c>
    </row>
    <row r="7" spans="3:9">
      <c r="C7" s="23">
        <v>5</v>
      </c>
      <c r="D7" s="58" t="s">
        <v>319</v>
      </c>
      <c r="E7" s="58" t="s">
        <v>320</v>
      </c>
      <c r="F7" s="47">
        <v>94</v>
      </c>
      <c r="G7" s="47">
        <v>90</v>
      </c>
      <c r="H7" s="47">
        <v>98</v>
      </c>
      <c r="I7" s="23">
        <f t="shared" si="0"/>
        <v>282</v>
      </c>
    </row>
    <row r="8" spans="3:9">
      <c r="C8" s="23">
        <v>6</v>
      </c>
      <c r="D8" s="58" t="s">
        <v>321</v>
      </c>
      <c r="E8" s="58" t="s">
        <v>322</v>
      </c>
      <c r="F8" s="47">
        <v>90</v>
      </c>
      <c r="G8" s="47">
        <v>87</v>
      </c>
      <c r="H8" s="47">
        <v>80</v>
      </c>
      <c r="I8" s="23">
        <f t="shared" si="0"/>
        <v>257</v>
      </c>
    </row>
    <row r="9" spans="3:9">
      <c r="C9" s="23">
        <v>7</v>
      </c>
      <c r="D9" s="58" t="s">
        <v>323</v>
      </c>
      <c r="E9" s="58" t="s">
        <v>318</v>
      </c>
      <c r="F9" s="47">
        <v>81</v>
      </c>
      <c r="G9" s="47">
        <v>98</v>
      </c>
      <c r="H9" s="47">
        <v>86</v>
      </c>
      <c r="I9" s="23">
        <f t="shared" si="0"/>
        <v>265</v>
      </c>
    </row>
    <row r="10" spans="3:9">
      <c r="C10" s="23">
        <v>8</v>
      </c>
      <c r="D10" s="58" t="s">
        <v>324</v>
      </c>
      <c r="E10" s="58" t="s">
        <v>313</v>
      </c>
      <c r="F10" s="47">
        <v>88</v>
      </c>
      <c r="G10" s="47">
        <v>87</v>
      </c>
      <c r="H10" s="47">
        <v>89</v>
      </c>
      <c r="I10" s="23">
        <f t="shared" si="0"/>
        <v>264</v>
      </c>
    </row>
    <row r="11" spans="3:9">
      <c r="C11" s="23">
        <v>9</v>
      </c>
      <c r="D11" s="58" t="s">
        <v>325</v>
      </c>
      <c r="E11" s="58" t="s">
        <v>315</v>
      </c>
      <c r="F11" s="47">
        <v>102</v>
      </c>
      <c r="G11" s="47">
        <v>90</v>
      </c>
      <c r="H11" s="47">
        <v>60</v>
      </c>
      <c r="I11" s="23">
        <f t="shared" si="0"/>
        <v>252</v>
      </c>
    </row>
    <row r="12" spans="3:9">
      <c r="C12" s="23">
        <v>10</v>
      </c>
      <c r="D12" s="58" t="s">
        <v>326</v>
      </c>
      <c r="E12" s="58" t="s">
        <v>313</v>
      </c>
      <c r="F12" s="47">
        <v>90</v>
      </c>
      <c r="G12" s="47">
        <v>79</v>
      </c>
      <c r="H12" s="47">
        <v>90</v>
      </c>
      <c r="I12" s="23">
        <f t="shared" si="0"/>
        <v>259</v>
      </c>
    </row>
    <row r="13" spans="3:9">
      <c r="C13" s="23">
        <v>11</v>
      </c>
      <c r="D13" s="58" t="s">
        <v>327</v>
      </c>
      <c r="E13" s="58" t="s">
        <v>313</v>
      </c>
      <c r="F13" s="47">
        <v>86</v>
      </c>
      <c r="G13" s="47">
        <v>87</v>
      </c>
      <c r="H13" s="47">
        <v>83</v>
      </c>
      <c r="I13" s="23">
        <f t="shared" si="0"/>
        <v>256</v>
      </c>
    </row>
    <row r="14" spans="3:9">
      <c r="C14" s="23">
        <v>12</v>
      </c>
      <c r="D14" s="58" t="s">
        <v>328</v>
      </c>
      <c r="E14" s="58" t="s">
        <v>315</v>
      </c>
      <c r="F14" s="47">
        <v>89</v>
      </c>
      <c r="G14" s="47">
        <v>98</v>
      </c>
      <c r="H14" s="47">
        <v>97</v>
      </c>
      <c r="I14" s="23">
        <f t="shared" si="0"/>
        <v>284</v>
      </c>
    </row>
    <row r="15" spans="3:9">
      <c r="C15" s="23">
        <v>13</v>
      </c>
      <c r="D15" s="58" t="s">
        <v>329</v>
      </c>
      <c r="E15" s="58" t="s">
        <v>318</v>
      </c>
      <c r="F15" s="47">
        <v>99</v>
      </c>
      <c r="G15" s="47">
        <v>98</v>
      </c>
      <c r="H15" s="47">
        <v>87</v>
      </c>
      <c r="I15" s="23">
        <f t="shared" si="0"/>
        <v>284</v>
      </c>
    </row>
    <row r="16" spans="3:9">
      <c r="C16" s="23">
        <v>14</v>
      </c>
      <c r="D16" s="58" t="s">
        <v>330</v>
      </c>
      <c r="E16" s="58" t="s">
        <v>318</v>
      </c>
      <c r="F16" s="47">
        <v>81</v>
      </c>
      <c r="G16" s="47">
        <v>89</v>
      </c>
      <c r="H16" s="47">
        <v>90</v>
      </c>
      <c r="I16" s="23">
        <f t="shared" si="0"/>
        <v>260</v>
      </c>
    </row>
    <row r="17" spans="3:9">
      <c r="C17" s="23">
        <v>15</v>
      </c>
      <c r="D17" s="58" t="s">
        <v>331</v>
      </c>
      <c r="E17" s="58" t="s">
        <v>320</v>
      </c>
      <c r="F17" s="47">
        <v>91</v>
      </c>
      <c r="G17" s="47">
        <v>94</v>
      </c>
      <c r="H17" s="47">
        <v>81</v>
      </c>
      <c r="I17" s="23">
        <f t="shared" si="0"/>
        <v>266</v>
      </c>
    </row>
    <row r="18" spans="3:9">
      <c r="C18" s="23">
        <v>16</v>
      </c>
      <c r="D18" s="58" t="s">
        <v>332</v>
      </c>
      <c r="E18" s="58" t="s">
        <v>315</v>
      </c>
      <c r="F18" s="47">
        <v>99</v>
      </c>
      <c r="G18" s="47">
        <v>90</v>
      </c>
      <c r="H18" s="47">
        <v>88</v>
      </c>
      <c r="I18" s="23">
        <f t="shared" si="0"/>
        <v>277</v>
      </c>
    </row>
    <row r="19" spans="3:9">
      <c r="C19" s="23">
        <v>17</v>
      </c>
      <c r="D19" s="58" t="s">
        <v>333</v>
      </c>
      <c r="E19" s="58" t="s">
        <v>315</v>
      </c>
      <c r="F19" s="47">
        <v>90</v>
      </c>
      <c r="G19" s="47">
        <v>98</v>
      </c>
      <c r="H19" s="47">
        <v>70</v>
      </c>
      <c r="I19" s="23">
        <f t="shared" si="0"/>
        <v>258</v>
      </c>
    </row>
    <row r="20" spans="3:9">
      <c r="C20" s="23">
        <v>18</v>
      </c>
      <c r="D20" s="58" t="s">
        <v>334</v>
      </c>
      <c r="E20" s="58" t="s">
        <v>320</v>
      </c>
      <c r="F20" s="47">
        <v>87</v>
      </c>
      <c r="G20" s="47">
        <v>80</v>
      </c>
      <c r="H20" s="47">
        <v>90</v>
      </c>
      <c r="I20" s="23">
        <f t="shared" si="0"/>
        <v>257</v>
      </c>
    </row>
    <row r="21" spans="3:9">
      <c r="C21" s="23">
        <v>19</v>
      </c>
      <c r="D21" s="58" t="s">
        <v>335</v>
      </c>
      <c r="E21" s="58" t="s">
        <v>320</v>
      </c>
      <c r="F21" s="47">
        <v>98</v>
      </c>
      <c r="G21" s="47">
        <v>86</v>
      </c>
      <c r="H21" s="47">
        <v>87</v>
      </c>
      <c r="I21" s="23">
        <f t="shared" si="0"/>
        <v>271</v>
      </c>
    </row>
    <row r="22" spans="3:9">
      <c r="C22" s="23">
        <v>20</v>
      </c>
      <c r="D22" s="58" t="s">
        <v>336</v>
      </c>
      <c r="E22" s="58" t="s">
        <v>322</v>
      </c>
      <c r="F22" s="47">
        <v>87</v>
      </c>
      <c r="G22" s="47">
        <v>89</v>
      </c>
      <c r="H22" s="47">
        <v>98</v>
      </c>
      <c r="I22" s="23">
        <f t="shared" si="0"/>
        <v>274</v>
      </c>
    </row>
    <row r="23" spans="3:9">
      <c r="C23" s="23">
        <v>21</v>
      </c>
      <c r="D23" s="58" t="s">
        <v>337</v>
      </c>
      <c r="E23" s="58" t="s">
        <v>313</v>
      </c>
      <c r="F23" s="47">
        <v>90</v>
      </c>
      <c r="G23" s="47">
        <v>99</v>
      </c>
      <c r="H23" s="47">
        <v>98</v>
      </c>
      <c r="I23" s="23">
        <f t="shared" si="0"/>
        <v>287</v>
      </c>
    </row>
    <row r="24" spans="3:9">
      <c r="C24" s="23">
        <v>22</v>
      </c>
      <c r="D24" s="58" t="s">
        <v>338</v>
      </c>
      <c r="E24" s="58" t="s">
        <v>315</v>
      </c>
      <c r="F24" s="47">
        <v>79</v>
      </c>
      <c r="G24" s="47">
        <v>81</v>
      </c>
      <c r="H24" s="47">
        <v>95</v>
      </c>
      <c r="I24" s="23">
        <f t="shared" si="0"/>
        <v>255</v>
      </c>
    </row>
    <row r="25" spans="3:9">
      <c r="C25" s="23">
        <v>23</v>
      </c>
      <c r="D25" s="58" t="s">
        <v>339</v>
      </c>
      <c r="E25" s="58" t="s">
        <v>322</v>
      </c>
      <c r="F25" s="47">
        <v>97</v>
      </c>
      <c r="G25" s="47">
        <v>91</v>
      </c>
      <c r="H25" s="47">
        <v>94</v>
      </c>
      <c r="I25" s="23">
        <f t="shared" si="0"/>
        <v>282</v>
      </c>
    </row>
    <row r="26" spans="3:9">
      <c r="C26" s="23">
        <v>24</v>
      </c>
      <c r="D26" s="58" t="s">
        <v>340</v>
      </c>
      <c r="E26" s="58" t="s">
        <v>315</v>
      </c>
      <c r="F26" s="47">
        <v>100</v>
      </c>
      <c r="G26" s="47">
        <v>99</v>
      </c>
      <c r="H26" s="47">
        <v>40</v>
      </c>
      <c r="I26" s="23">
        <f t="shared" si="0"/>
        <v>239</v>
      </c>
    </row>
    <row r="27" spans="3:9">
      <c r="C27" s="23">
        <v>25</v>
      </c>
      <c r="D27" s="58" t="s">
        <v>341</v>
      </c>
      <c r="E27" s="58" t="s">
        <v>318</v>
      </c>
      <c r="F27" s="47">
        <v>80</v>
      </c>
      <c r="G27" s="47">
        <v>90</v>
      </c>
      <c r="H27" s="47">
        <v>98</v>
      </c>
      <c r="I27" s="23">
        <f t="shared" si="0"/>
        <v>268</v>
      </c>
    </row>
    <row r="28" spans="3:9">
      <c r="C28" s="23">
        <v>26</v>
      </c>
      <c r="D28" s="58" t="s">
        <v>342</v>
      </c>
      <c r="E28" s="58" t="s">
        <v>320</v>
      </c>
      <c r="F28" s="47">
        <v>98</v>
      </c>
      <c r="G28" s="47">
        <v>87</v>
      </c>
      <c r="H28" s="47">
        <v>100</v>
      </c>
      <c r="I28" s="23">
        <f t="shared" si="0"/>
        <v>285</v>
      </c>
    </row>
  </sheetData>
  <phoneticPr fontId="1" type="noConversion"/>
  <conditionalFormatting sqref="C3:I28">
    <cfRule type="expression" dxfId="1" priority="1">
      <formula>ISODD(MOD(COLUMN(), 3))</formula>
    </cfRule>
    <cfRule type="expression" dxfId="0" priority="2">
      <formula>OR(_xlfn.RANK.EQ($I3,$I$3:$I$28)=1, _xlfn.RANK.EQ($I3,$I$3:$I$28,1)&lt;=3)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3:T31"/>
  <sheetViews>
    <sheetView view="pageBreakPreview" zoomScaleNormal="100" zoomScaleSheetLayoutView="100" workbookViewId="0">
      <selection activeCell="K38" sqref="K38"/>
    </sheetView>
  </sheetViews>
  <sheetFormatPr defaultRowHeight="16.5"/>
  <cols>
    <col min="1" max="1" width="2.625" customWidth="1"/>
    <col min="2" max="2" width="5.25" bestFit="1" customWidth="1"/>
    <col min="3" max="3" width="7.625" customWidth="1"/>
    <col min="4" max="4" width="7.75" customWidth="1"/>
    <col min="5" max="19" width="4.25" customWidth="1"/>
    <col min="20" max="20" width="6.25" style="31" customWidth="1"/>
  </cols>
  <sheetData>
    <row r="3" spans="2:20">
      <c r="B3" s="59" t="s">
        <v>343</v>
      </c>
      <c r="C3" s="60" t="s">
        <v>344</v>
      </c>
      <c r="D3" s="60" t="s">
        <v>35</v>
      </c>
      <c r="E3" s="61">
        <v>42432</v>
      </c>
      <c r="F3" s="61">
        <v>42439</v>
      </c>
      <c r="G3" s="61">
        <v>42446</v>
      </c>
      <c r="H3" s="61">
        <v>42453</v>
      </c>
      <c r="I3" s="61">
        <v>42460</v>
      </c>
      <c r="J3" s="61">
        <v>42467</v>
      </c>
      <c r="K3" s="61">
        <v>42474</v>
      </c>
      <c r="L3" s="61">
        <v>42481</v>
      </c>
      <c r="M3" s="61">
        <v>42488</v>
      </c>
      <c r="N3" s="61">
        <v>42495</v>
      </c>
      <c r="O3" s="61">
        <v>42502</v>
      </c>
      <c r="P3" s="61">
        <v>42509</v>
      </c>
      <c r="Q3" s="61">
        <v>42516</v>
      </c>
      <c r="R3" s="61">
        <v>42523</v>
      </c>
      <c r="S3" s="61">
        <v>42530</v>
      </c>
      <c r="T3" s="62" t="s">
        <v>345</v>
      </c>
    </row>
    <row r="4" spans="2:20">
      <c r="B4" s="63">
        <v>1</v>
      </c>
      <c r="C4" s="64" t="s">
        <v>346</v>
      </c>
      <c r="D4" s="63" t="s">
        <v>347</v>
      </c>
      <c r="E4" s="65" t="s">
        <v>348</v>
      </c>
      <c r="F4" s="65" t="s">
        <v>348</v>
      </c>
      <c r="G4" s="65" t="s">
        <v>348</v>
      </c>
      <c r="H4" s="65" t="s">
        <v>348</v>
      </c>
      <c r="I4" s="65" t="s">
        <v>348</v>
      </c>
      <c r="J4" s="65" t="s">
        <v>348</v>
      </c>
      <c r="K4" s="65" t="s">
        <v>348</v>
      </c>
      <c r="L4" s="65" t="s">
        <v>348</v>
      </c>
      <c r="M4" s="65" t="s">
        <v>348</v>
      </c>
      <c r="N4" s="65" t="s">
        <v>348</v>
      </c>
      <c r="O4" s="65" t="s">
        <v>348</v>
      </c>
      <c r="P4" s="65" t="s">
        <v>348</v>
      </c>
      <c r="Q4" s="65" t="s">
        <v>348</v>
      </c>
      <c r="R4" s="65" t="s">
        <v>348</v>
      </c>
      <c r="S4" s="65" t="s">
        <v>348</v>
      </c>
      <c r="T4" s="80">
        <f t="shared" ref="T4:T31" si="0">COUNTA(E4:S4)</f>
        <v>15</v>
      </c>
    </row>
    <row r="5" spans="2:20">
      <c r="B5" s="66">
        <v>1</v>
      </c>
      <c r="C5" s="67" t="s">
        <v>346</v>
      </c>
      <c r="D5" s="68" t="s">
        <v>349</v>
      </c>
      <c r="E5" s="65" t="s">
        <v>348</v>
      </c>
      <c r="F5" s="65" t="s">
        <v>348</v>
      </c>
      <c r="G5" s="65"/>
      <c r="H5" s="65" t="s">
        <v>348</v>
      </c>
      <c r="I5" s="65" t="s">
        <v>348</v>
      </c>
      <c r="J5" s="65" t="s">
        <v>348</v>
      </c>
      <c r="K5" s="65" t="s">
        <v>348</v>
      </c>
      <c r="L5" s="65" t="s">
        <v>348</v>
      </c>
      <c r="M5" s="65"/>
      <c r="N5" s="65" t="s">
        <v>348</v>
      </c>
      <c r="O5" s="65" t="s">
        <v>348</v>
      </c>
      <c r="P5" s="65" t="s">
        <v>348</v>
      </c>
      <c r="Q5" s="65" t="s">
        <v>348</v>
      </c>
      <c r="R5" s="65" t="s">
        <v>348</v>
      </c>
      <c r="S5" s="65" t="s">
        <v>348</v>
      </c>
      <c r="T5" s="80">
        <f t="shared" si="0"/>
        <v>13</v>
      </c>
    </row>
    <row r="6" spans="2:20">
      <c r="B6" s="63">
        <v>1</v>
      </c>
      <c r="C6" s="64" t="s">
        <v>346</v>
      </c>
      <c r="D6" s="63" t="s">
        <v>350</v>
      </c>
      <c r="E6" s="65"/>
      <c r="F6" s="65" t="s">
        <v>348</v>
      </c>
      <c r="G6" s="65" t="s">
        <v>348</v>
      </c>
      <c r="H6" s="65" t="s">
        <v>348</v>
      </c>
      <c r="I6" s="65" t="s">
        <v>348</v>
      </c>
      <c r="J6" s="65" t="s">
        <v>348</v>
      </c>
      <c r="K6" s="65" t="s">
        <v>348</v>
      </c>
      <c r="L6" s="65" t="s">
        <v>348</v>
      </c>
      <c r="M6" s="65" t="s">
        <v>348</v>
      </c>
      <c r="N6" s="65" t="s">
        <v>348</v>
      </c>
      <c r="O6" s="65"/>
      <c r="P6" s="65" t="s">
        <v>348</v>
      </c>
      <c r="Q6" s="65" t="s">
        <v>348</v>
      </c>
      <c r="R6" s="65"/>
      <c r="S6" s="65" t="s">
        <v>348</v>
      </c>
      <c r="T6" s="80">
        <f t="shared" si="0"/>
        <v>12</v>
      </c>
    </row>
    <row r="7" spans="2:20">
      <c r="B7" s="69">
        <v>1</v>
      </c>
      <c r="C7" s="70" t="s">
        <v>351</v>
      </c>
      <c r="D7" s="71" t="s">
        <v>352</v>
      </c>
      <c r="E7" s="65" t="s">
        <v>348</v>
      </c>
      <c r="F7" s="65" t="s">
        <v>348</v>
      </c>
      <c r="G7" s="65" t="s">
        <v>348</v>
      </c>
      <c r="H7" s="65" t="s">
        <v>348</v>
      </c>
      <c r="I7" s="65" t="s">
        <v>348</v>
      </c>
      <c r="J7" s="65" t="s">
        <v>348</v>
      </c>
      <c r="K7" s="65" t="s">
        <v>348</v>
      </c>
      <c r="L7" s="65" t="s">
        <v>348</v>
      </c>
      <c r="M7" s="65" t="s">
        <v>348</v>
      </c>
      <c r="N7" s="65" t="s">
        <v>348</v>
      </c>
      <c r="O7" s="65" t="s">
        <v>348</v>
      </c>
      <c r="P7" s="65" t="s">
        <v>348</v>
      </c>
      <c r="Q7" s="65" t="s">
        <v>348</v>
      </c>
      <c r="R7" s="65" t="s">
        <v>348</v>
      </c>
      <c r="S7" s="65" t="s">
        <v>348</v>
      </c>
      <c r="T7" s="80">
        <f t="shared" si="0"/>
        <v>15</v>
      </c>
    </row>
    <row r="8" spans="2:20">
      <c r="B8" s="69">
        <v>1</v>
      </c>
      <c r="C8" s="70" t="s">
        <v>351</v>
      </c>
      <c r="D8" s="69" t="s">
        <v>353</v>
      </c>
      <c r="E8" s="65"/>
      <c r="F8" s="65" t="s">
        <v>348</v>
      </c>
      <c r="G8" s="65" t="s">
        <v>348</v>
      </c>
      <c r="H8" s="65" t="s">
        <v>348</v>
      </c>
      <c r="I8" s="65" t="s">
        <v>348</v>
      </c>
      <c r="J8" s="65" t="s">
        <v>348</v>
      </c>
      <c r="K8" s="65" t="s">
        <v>348</v>
      </c>
      <c r="L8" s="65" t="s">
        <v>348</v>
      </c>
      <c r="M8" s="65" t="s">
        <v>348</v>
      </c>
      <c r="N8" s="65" t="s">
        <v>348</v>
      </c>
      <c r="O8" s="65" t="s">
        <v>348</v>
      </c>
      <c r="P8" s="65" t="s">
        <v>348</v>
      </c>
      <c r="Q8" s="65" t="s">
        <v>348</v>
      </c>
      <c r="R8" s="65" t="s">
        <v>348</v>
      </c>
      <c r="S8" s="65" t="s">
        <v>348</v>
      </c>
      <c r="T8" s="80">
        <f t="shared" si="0"/>
        <v>14</v>
      </c>
    </row>
    <row r="9" spans="2:20">
      <c r="B9" s="69">
        <v>1</v>
      </c>
      <c r="C9" s="70" t="s">
        <v>351</v>
      </c>
      <c r="D9" s="69" t="s">
        <v>354</v>
      </c>
      <c r="E9" s="65" t="s">
        <v>348</v>
      </c>
      <c r="F9" s="65" t="s">
        <v>348</v>
      </c>
      <c r="G9" s="65" t="s">
        <v>348</v>
      </c>
      <c r="H9" s="65" t="s">
        <v>348</v>
      </c>
      <c r="I9" s="65" t="s">
        <v>348</v>
      </c>
      <c r="J9" s="65" t="s">
        <v>348</v>
      </c>
      <c r="K9" s="65"/>
      <c r="L9" s="65"/>
      <c r="M9" s="65" t="s">
        <v>348</v>
      </c>
      <c r="N9" s="65" t="s">
        <v>348</v>
      </c>
      <c r="O9" s="65" t="s">
        <v>348</v>
      </c>
      <c r="P9" s="65" t="s">
        <v>348</v>
      </c>
      <c r="Q9" s="65" t="s">
        <v>348</v>
      </c>
      <c r="R9" s="65" t="s">
        <v>348</v>
      </c>
      <c r="S9" s="65" t="s">
        <v>348</v>
      </c>
      <c r="T9" s="80">
        <f t="shared" si="0"/>
        <v>13</v>
      </c>
    </row>
    <row r="10" spans="2:20">
      <c r="B10" s="70">
        <v>1</v>
      </c>
      <c r="C10" s="70" t="s">
        <v>351</v>
      </c>
      <c r="D10" s="69" t="s">
        <v>355</v>
      </c>
      <c r="E10" s="65"/>
      <c r="F10" s="65" t="s">
        <v>348</v>
      </c>
      <c r="G10" s="65" t="s">
        <v>348</v>
      </c>
      <c r="H10" s="65" t="s">
        <v>348</v>
      </c>
      <c r="I10" s="65"/>
      <c r="J10" s="65" t="s">
        <v>348</v>
      </c>
      <c r="K10" s="65" t="s">
        <v>348</v>
      </c>
      <c r="L10" s="65" t="s">
        <v>348</v>
      </c>
      <c r="M10" s="65" t="s">
        <v>348</v>
      </c>
      <c r="N10" s="65" t="s">
        <v>348</v>
      </c>
      <c r="O10" s="65"/>
      <c r="P10" s="65" t="s">
        <v>348</v>
      </c>
      <c r="Q10" s="65" t="s">
        <v>348</v>
      </c>
      <c r="R10" s="65"/>
      <c r="S10" s="65" t="s">
        <v>348</v>
      </c>
      <c r="T10" s="80">
        <f t="shared" si="0"/>
        <v>11</v>
      </c>
    </row>
    <row r="11" spans="2:20">
      <c r="B11" s="72">
        <v>1</v>
      </c>
      <c r="C11" s="72" t="s">
        <v>356</v>
      </c>
      <c r="D11" s="72" t="s">
        <v>357</v>
      </c>
      <c r="E11" s="73" t="s">
        <v>348</v>
      </c>
      <c r="F11" s="73" t="s">
        <v>348</v>
      </c>
      <c r="G11" s="73" t="s">
        <v>348</v>
      </c>
      <c r="H11" s="73" t="s">
        <v>348</v>
      </c>
      <c r="I11" s="73" t="s">
        <v>348</v>
      </c>
      <c r="J11" s="73" t="s">
        <v>348</v>
      </c>
      <c r="K11" s="73" t="s">
        <v>348</v>
      </c>
      <c r="L11" s="73" t="s">
        <v>348</v>
      </c>
      <c r="M11" s="73" t="s">
        <v>348</v>
      </c>
      <c r="N11" s="73" t="s">
        <v>348</v>
      </c>
      <c r="O11" s="73" t="s">
        <v>348</v>
      </c>
      <c r="P11" s="73" t="s">
        <v>348</v>
      </c>
      <c r="Q11" s="73" t="s">
        <v>348</v>
      </c>
      <c r="R11" s="73" t="s">
        <v>348</v>
      </c>
      <c r="S11" s="73" t="s">
        <v>348</v>
      </c>
      <c r="T11" s="80">
        <f t="shared" si="0"/>
        <v>15</v>
      </c>
    </row>
    <row r="12" spans="2:20">
      <c r="B12" s="72">
        <v>1</v>
      </c>
      <c r="C12" s="72" t="s">
        <v>356</v>
      </c>
      <c r="D12" s="72" t="s">
        <v>358</v>
      </c>
      <c r="E12" s="73" t="s">
        <v>348</v>
      </c>
      <c r="F12" s="73" t="s">
        <v>348</v>
      </c>
      <c r="G12" s="73" t="s">
        <v>348</v>
      </c>
      <c r="H12" s="73" t="s">
        <v>348</v>
      </c>
      <c r="I12" s="73" t="s">
        <v>348</v>
      </c>
      <c r="J12" s="73" t="s">
        <v>348</v>
      </c>
      <c r="K12" s="73" t="s">
        <v>348</v>
      </c>
      <c r="L12" s="73" t="s">
        <v>348</v>
      </c>
      <c r="M12" s="73" t="s">
        <v>348</v>
      </c>
      <c r="N12" s="73" t="s">
        <v>348</v>
      </c>
      <c r="O12" s="73" t="s">
        <v>348</v>
      </c>
      <c r="P12" s="73" t="s">
        <v>348</v>
      </c>
      <c r="Q12" s="73" t="s">
        <v>348</v>
      </c>
      <c r="R12" s="73" t="s">
        <v>348</v>
      </c>
      <c r="S12" s="73" t="s">
        <v>348</v>
      </c>
      <c r="T12" s="80">
        <f t="shared" si="0"/>
        <v>15</v>
      </c>
    </row>
    <row r="13" spans="2:20">
      <c r="B13" s="72">
        <v>1</v>
      </c>
      <c r="C13" s="72" t="s">
        <v>356</v>
      </c>
      <c r="D13" s="72" t="s">
        <v>359</v>
      </c>
      <c r="E13" s="73" t="s">
        <v>348</v>
      </c>
      <c r="F13" s="73" t="s">
        <v>348</v>
      </c>
      <c r="G13" s="73" t="s">
        <v>348</v>
      </c>
      <c r="H13" s="73"/>
      <c r="I13" s="73" t="s">
        <v>348</v>
      </c>
      <c r="J13" s="73"/>
      <c r="K13" s="73"/>
      <c r="L13" s="73"/>
      <c r="M13" s="73" t="s">
        <v>348</v>
      </c>
      <c r="N13" s="73"/>
      <c r="O13" s="73" t="s">
        <v>348</v>
      </c>
      <c r="P13" s="73" t="s">
        <v>348</v>
      </c>
      <c r="Q13" s="73" t="s">
        <v>348</v>
      </c>
      <c r="R13" s="73" t="s">
        <v>348</v>
      </c>
      <c r="S13" s="73" t="s">
        <v>348</v>
      </c>
      <c r="T13" s="80">
        <f t="shared" si="0"/>
        <v>10</v>
      </c>
    </row>
    <row r="14" spans="2:20">
      <c r="B14" s="70">
        <v>2</v>
      </c>
      <c r="C14" s="70" t="s">
        <v>360</v>
      </c>
      <c r="D14" s="69" t="s">
        <v>361</v>
      </c>
      <c r="E14" s="65" t="s">
        <v>348</v>
      </c>
      <c r="F14" s="65" t="s">
        <v>348</v>
      </c>
      <c r="G14" s="65" t="s">
        <v>348</v>
      </c>
      <c r="H14" s="65" t="s">
        <v>348</v>
      </c>
      <c r="I14" s="65" t="s">
        <v>348</v>
      </c>
      <c r="J14" s="65" t="s">
        <v>348</v>
      </c>
      <c r="K14" s="65" t="s">
        <v>348</v>
      </c>
      <c r="L14" s="65" t="s">
        <v>348</v>
      </c>
      <c r="M14" s="65" t="s">
        <v>348</v>
      </c>
      <c r="N14" s="65" t="s">
        <v>348</v>
      </c>
      <c r="O14" s="65" t="s">
        <v>348</v>
      </c>
      <c r="P14" s="65" t="s">
        <v>348</v>
      </c>
      <c r="Q14" s="65" t="s">
        <v>348</v>
      </c>
      <c r="R14" s="65" t="s">
        <v>348</v>
      </c>
      <c r="S14" s="65" t="s">
        <v>348</v>
      </c>
      <c r="T14" s="80">
        <f t="shared" si="0"/>
        <v>15</v>
      </c>
    </row>
    <row r="15" spans="2:20">
      <c r="B15" s="69">
        <v>2</v>
      </c>
      <c r="C15" s="70" t="s">
        <v>360</v>
      </c>
      <c r="D15" s="69" t="s">
        <v>362</v>
      </c>
      <c r="E15" s="65" t="s">
        <v>348</v>
      </c>
      <c r="F15" s="65" t="s">
        <v>348</v>
      </c>
      <c r="G15" s="65" t="s">
        <v>348</v>
      </c>
      <c r="H15" s="65" t="s">
        <v>348</v>
      </c>
      <c r="I15" s="65" t="s">
        <v>348</v>
      </c>
      <c r="J15" s="65"/>
      <c r="K15" s="65" t="s">
        <v>348</v>
      </c>
      <c r="L15" s="65" t="s">
        <v>348</v>
      </c>
      <c r="M15" s="65" t="s">
        <v>348</v>
      </c>
      <c r="N15" s="65" t="s">
        <v>348</v>
      </c>
      <c r="O15" s="65" t="s">
        <v>348</v>
      </c>
      <c r="P15" s="65" t="s">
        <v>348</v>
      </c>
      <c r="Q15" s="65" t="s">
        <v>348</v>
      </c>
      <c r="R15" s="65" t="s">
        <v>348</v>
      </c>
      <c r="S15" s="65"/>
      <c r="T15" s="80">
        <f t="shared" si="0"/>
        <v>13</v>
      </c>
    </row>
    <row r="16" spans="2:20">
      <c r="B16" s="74">
        <v>2</v>
      </c>
      <c r="C16" s="75" t="s">
        <v>363</v>
      </c>
      <c r="D16" s="63" t="s">
        <v>364</v>
      </c>
      <c r="E16" s="65" t="s">
        <v>348</v>
      </c>
      <c r="F16" s="65" t="s">
        <v>348</v>
      </c>
      <c r="G16" s="65" t="s">
        <v>348</v>
      </c>
      <c r="H16" s="65" t="s">
        <v>348</v>
      </c>
      <c r="I16" s="65" t="s">
        <v>348</v>
      </c>
      <c r="J16" s="65" t="s">
        <v>348</v>
      </c>
      <c r="K16" s="65" t="s">
        <v>348</v>
      </c>
      <c r="L16" s="65" t="s">
        <v>348</v>
      </c>
      <c r="M16" s="65" t="s">
        <v>348</v>
      </c>
      <c r="N16" s="65" t="s">
        <v>348</v>
      </c>
      <c r="O16" s="65" t="s">
        <v>348</v>
      </c>
      <c r="P16" s="65" t="s">
        <v>348</v>
      </c>
      <c r="Q16" s="65" t="s">
        <v>348</v>
      </c>
      <c r="R16" s="65" t="s">
        <v>348</v>
      </c>
      <c r="S16" s="65" t="s">
        <v>348</v>
      </c>
      <c r="T16" s="80">
        <f t="shared" si="0"/>
        <v>15</v>
      </c>
    </row>
    <row r="17" spans="2:20">
      <c r="B17" s="63">
        <v>2</v>
      </c>
      <c r="C17" s="75" t="s">
        <v>363</v>
      </c>
      <c r="D17" s="63" t="s">
        <v>365</v>
      </c>
      <c r="E17" s="65" t="s">
        <v>348</v>
      </c>
      <c r="F17" s="65" t="s">
        <v>348</v>
      </c>
      <c r="G17" s="65" t="s">
        <v>348</v>
      </c>
      <c r="H17" s="65" t="s">
        <v>348</v>
      </c>
      <c r="I17" s="65" t="s">
        <v>348</v>
      </c>
      <c r="J17" s="65" t="s">
        <v>348</v>
      </c>
      <c r="K17" s="65" t="s">
        <v>348</v>
      </c>
      <c r="L17" s="65" t="s">
        <v>348</v>
      </c>
      <c r="M17" s="65"/>
      <c r="N17" s="65" t="s">
        <v>348</v>
      </c>
      <c r="O17" s="65" t="s">
        <v>348</v>
      </c>
      <c r="P17" s="65" t="s">
        <v>348</v>
      </c>
      <c r="Q17" s="65" t="s">
        <v>348</v>
      </c>
      <c r="R17" s="65" t="s">
        <v>348</v>
      </c>
      <c r="S17" s="65" t="s">
        <v>348</v>
      </c>
      <c r="T17" s="80">
        <f t="shared" si="0"/>
        <v>14</v>
      </c>
    </row>
    <row r="18" spans="2:20">
      <c r="B18" s="63">
        <v>2</v>
      </c>
      <c r="C18" s="75" t="s">
        <v>363</v>
      </c>
      <c r="D18" s="63" t="s">
        <v>366</v>
      </c>
      <c r="E18" s="65" t="s">
        <v>348</v>
      </c>
      <c r="F18" s="65" t="s">
        <v>348</v>
      </c>
      <c r="G18" s="65" t="s">
        <v>348</v>
      </c>
      <c r="H18" s="65" t="s">
        <v>348</v>
      </c>
      <c r="I18" s="65" t="s">
        <v>348</v>
      </c>
      <c r="J18" s="65" t="s">
        <v>348</v>
      </c>
      <c r="K18" s="65" t="s">
        <v>348</v>
      </c>
      <c r="L18" s="65" t="s">
        <v>348</v>
      </c>
      <c r="M18" s="65" t="s">
        <v>348</v>
      </c>
      <c r="N18" s="65" t="s">
        <v>348</v>
      </c>
      <c r="O18" s="65" t="s">
        <v>348</v>
      </c>
      <c r="P18" s="65"/>
      <c r="Q18" s="65" t="s">
        <v>348</v>
      </c>
      <c r="R18" s="65" t="s">
        <v>348</v>
      </c>
      <c r="S18" s="65"/>
      <c r="T18" s="80">
        <f t="shared" si="0"/>
        <v>13</v>
      </c>
    </row>
    <row r="19" spans="2:20">
      <c r="B19" s="63">
        <v>2</v>
      </c>
      <c r="C19" s="75" t="s">
        <v>363</v>
      </c>
      <c r="D19" s="63" t="s">
        <v>367</v>
      </c>
      <c r="E19" s="65" t="s">
        <v>348</v>
      </c>
      <c r="F19" s="65" t="s">
        <v>348</v>
      </c>
      <c r="G19" s="65" t="s">
        <v>348</v>
      </c>
      <c r="H19" s="65" t="s">
        <v>348</v>
      </c>
      <c r="I19" s="65" t="s">
        <v>348</v>
      </c>
      <c r="J19" s="65"/>
      <c r="K19" s="65" t="s">
        <v>348</v>
      </c>
      <c r="L19" s="65" t="s">
        <v>348</v>
      </c>
      <c r="M19" s="65"/>
      <c r="N19" s="65" t="s">
        <v>348</v>
      </c>
      <c r="O19" s="65" t="s">
        <v>348</v>
      </c>
      <c r="P19" s="65" t="s">
        <v>348</v>
      </c>
      <c r="Q19" s="65" t="s">
        <v>348</v>
      </c>
      <c r="R19" s="65" t="s">
        <v>348</v>
      </c>
      <c r="S19" s="65"/>
      <c r="T19" s="80">
        <f t="shared" si="0"/>
        <v>12</v>
      </c>
    </row>
    <row r="20" spans="2:20">
      <c r="B20" s="76">
        <v>2</v>
      </c>
      <c r="C20" s="76" t="s">
        <v>368</v>
      </c>
      <c r="D20" s="72" t="s">
        <v>369</v>
      </c>
      <c r="E20" s="65" t="s">
        <v>348</v>
      </c>
      <c r="F20" s="65" t="s">
        <v>348</v>
      </c>
      <c r="G20" s="65" t="s">
        <v>348</v>
      </c>
      <c r="H20" s="65" t="s">
        <v>348</v>
      </c>
      <c r="I20" s="65" t="s">
        <v>348</v>
      </c>
      <c r="J20" s="65" t="s">
        <v>348</v>
      </c>
      <c r="K20" s="65" t="s">
        <v>348</v>
      </c>
      <c r="L20" s="65" t="s">
        <v>348</v>
      </c>
      <c r="M20" s="65" t="s">
        <v>348</v>
      </c>
      <c r="N20" s="65" t="s">
        <v>348</v>
      </c>
      <c r="O20" s="65" t="s">
        <v>348</v>
      </c>
      <c r="P20" s="65" t="s">
        <v>348</v>
      </c>
      <c r="Q20" s="65" t="s">
        <v>348</v>
      </c>
      <c r="R20" s="65" t="s">
        <v>348</v>
      </c>
      <c r="S20" s="65" t="s">
        <v>348</v>
      </c>
      <c r="T20" s="80">
        <f t="shared" si="0"/>
        <v>15</v>
      </c>
    </row>
    <row r="21" spans="2:20">
      <c r="B21" s="72">
        <v>2</v>
      </c>
      <c r="C21" s="76" t="s">
        <v>368</v>
      </c>
      <c r="D21" s="72" t="s">
        <v>370</v>
      </c>
      <c r="E21" s="65" t="s">
        <v>348</v>
      </c>
      <c r="F21" s="65" t="s">
        <v>348</v>
      </c>
      <c r="G21" s="65" t="s">
        <v>348</v>
      </c>
      <c r="H21" s="65" t="s">
        <v>348</v>
      </c>
      <c r="I21" s="65" t="s">
        <v>348</v>
      </c>
      <c r="J21" s="65" t="s">
        <v>348</v>
      </c>
      <c r="K21" s="65" t="s">
        <v>348</v>
      </c>
      <c r="L21" s="65" t="s">
        <v>348</v>
      </c>
      <c r="M21" s="65" t="s">
        <v>348</v>
      </c>
      <c r="N21" s="65" t="s">
        <v>348</v>
      </c>
      <c r="O21" s="65" t="s">
        <v>348</v>
      </c>
      <c r="P21" s="65" t="s">
        <v>348</v>
      </c>
      <c r="Q21" s="65" t="s">
        <v>348</v>
      </c>
      <c r="R21" s="65" t="s">
        <v>348</v>
      </c>
      <c r="S21" s="65" t="s">
        <v>348</v>
      </c>
      <c r="T21" s="80">
        <f t="shared" si="0"/>
        <v>15</v>
      </c>
    </row>
    <row r="22" spans="2:20">
      <c r="B22" s="69">
        <v>2</v>
      </c>
      <c r="C22" s="70" t="s">
        <v>368</v>
      </c>
      <c r="D22" s="69" t="s">
        <v>371</v>
      </c>
      <c r="E22" s="65" t="s">
        <v>348</v>
      </c>
      <c r="F22" s="65"/>
      <c r="G22" s="65" t="s">
        <v>348</v>
      </c>
      <c r="H22" s="65" t="s">
        <v>348</v>
      </c>
      <c r="I22" s="65" t="s">
        <v>348</v>
      </c>
      <c r="J22" s="65" t="s">
        <v>348</v>
      </c>
      <c r="K22" s="65" t="s">
        <v>348</v>
      </c>
      <c r="L22" s="65" t="s">
        <v>348</v>
      </c>
      <c r="M22" s="65" t="s">
        <v>348</v>
      </c>
      <c r="N22" s="65" t="s">
        <v>348</v>
      </c>
      <c r="O22" s="65" t="s">
        <v>348</v>
      </c>
      <c r="P22" s="65" t="s">
        <v>348</v>
      </c>
      <c r="Q22" s="65" t="s">
        <v>348</v>
      </c>
      <c r="R22" s="65" t="s">
        <v>348</v>
      </c>
      <c r="S22" s="65" t="s">
        <v>348</v>
      </c>
      <c r="T22" s="80">
        <f t="shared" si="0"/>
        <v>14</v>
      </c>
    </row>
    <row r="23" spans="2:20">
      <c r="B23" s="72">
        <v>2</v>
      </c>
      <c r="C23" s="76" t="s">
        <v>368</v>
      </c>
      <c r="D23" s="72" t="s">
        <v>372</v>
      </c>
      <c r="E23" s="65" t="s">
        <v>348</v>
      </c>
      <c r="F23" s="65" t="s">
        <v>348</v>
      </c>
      <c r="G23" s="65"/>
      <c r="H23" s="65" t="s">
        <v>348</v>
      </c>
      <c r="I23" s="65"/>
      <c r="J23" s="65"/>
      <c r="K23" s="65" t="s">
        <v>348</v>
      </c>
      <c r="L23" s="65" t="s">
        <v>348</v>
      </c>
      <c r="M23" s="65" t="s">
        <v>348</v>
      </c>
      <c r="N23" s="65" t="s">
        <v>348</v>
      </c>
      <c r="O23" s="65" t="s">
        <v>348</v>
      </c>
      <c r="P23" s="65" t="s">
        <v>348</v>
      </c>
      <c r="Q23" s="65" t="s">
        <v>348</v>
      </c>
      <c r="R23" s="65" t="s">
        <v>348</v>
      </c>
      <c r="S23" s="65" t="s">
        <v>348</v>
      </c>
      <c r="T23" s="80">
        <f t="shared" si="0"/>
        <v>12</v>
      </c>
    </row>
    <row r="24" spans="2:20">
      <c r="B24" s="72">
        <v>2</v>
      </c>
      <c r="C24" s="76" t="s">
        <v>368</v>
      </c>
      <c r="D24" s="72" t="s">
        <v>373</v>
      </c>
      <c r="E24" s="65"/>
      <c r="F24" s="65" t="s">
        <v>348</v>
      </c>
      <c r="G24" s="65" t="s">
        <v>348</v>
      </c>
      <c r="H24" s="65"/>
      <c r="I24" s="65" t="s">
        <v>348</v>
      </c>
      <c r="J24" s="65"/>
      <c r="K24" s="65" t="s">
        <v>348</v>
      </c>
      <c r="L24" s="65"/>
      <c r="M24" s="65"/>
      <c r="N24" s="65"/>
      <c r="O24" s="65" t="s">
        <v>348</v>
      </c>
      <c r="P24" s="65" t="s">
        <v>348</v>
      </c>
      <c r="Q24" s="65" t="s">
        <v>348</v>
      </c>
      <c r="R24" s="65" t="s">
        <v>348</v>
      </c>
      <c r="S24" s="65" t="s">
        <v>348</v>
      </c>
      <c r="T24" s="80">
        <f t="shared" si="0"/>
        <v>9</v>
      </c>
    </row>
    <row r="25" spans="2:20">
      <c r="B25" s="77">
        <v>2</v>
      </c>
      <c r="C25" s="77" t="s">
        <v>374</v>
      </c>
      <c r="D25" s="78" t="s">
        <v>375</v>
      </c>
      <c r="E25" s="65" t="s">
        <v>348</v>
      </c>
      <c r="F25" s="65" t="s">
        <v>348</v>
      </c>
      <c r="G25" s="65" t="s">
        <v>348</v>
      </c>
      <c r="H25" s="65" t="s">
        <v>348</v>
      </c>
      <c r="I25" s="65" t="s">
        <v>348</v>
      </c>
      <c r="J25" s="65" t="s">
        <v>348</v>
      </c>
      <c r="K25" s="65" t="s">
        <v>348</v>
      </c>
      <c r="L25" s="65" t="s">
        <v>348</v>
      </c>
      <c r="M25" s="65" t="s">
        <v>348</v>
      </c>
      <c r="N25" s="65" t="s">
        <v>348</v>
      </c>
      <c r="O25" s="65" t="s">
        <v>348</v>
      </c>
      <c r="P25" s="65" t="s">
        <v>348</v>
      </c>
      <c r="Q25" s="65" t="s">
        <v>348</v>
      </c>
      <c r="R25" s="65" t="s">
        <v>348</v>
      </c>
      <c r="S25" s="65" t="s">
        <v>348</v>
      </c>
      <c r="T25" s="80">
        <f t="shared" si="0"/>
        <v>15</v>
      </c>
    </row>
    <row r="26" spans="2:20">
      <c r="B26" s="78">
        <v>2</v>
      </c>
      <c r="C26" s="77" t="s">
        <v>374</v>
      </c>
      <c r="D26" s="78" t="s">
        <v>376</v>
      </c>
      <c r="E26" s="65" t="s">
        <v>348</v>
      </c>
      <c r="F26" s="65" t="s">
        <v>348</v>
      </c>
      <c r="G26" s="65" t="s">
        <v>348</v>
      </c>
      <c r="H26" s="65" t="s">
        <v>348</v>
      </c>
      <c r="I26" s="65" t="s">
        <v>348</v>
      </c>
      <c r="J26" s="65" t="s">
        <v>348</v>
      </c>
      <c r="K26" s="65" t="s">
        <v>348</v>
      </c>
      <c r="L26" s="65" t="s">
        <v>348</v>
      </c>
      <c r="M26" s="65" t="s">
        <v>348</v>
      </c>
      <c r="N26" s="65" t="s">
        <v>348</v>
      </c>
      <c r="O26" s="65" t="s">
        <v>348</v>
      </c>
      <c r="P26" s="65" t="s">
        <v>348</v>
      </c>
      <c r="Q26" s="65" t="s">
        <v>348</v>
      </c>
      <c r="R26" s="65" t="s">
        <v>348</v>
      </c>
      <c r="S26" s="65" t="s">
        <v>348</v>
      </c>
      <c r="T26" s="80">
        <f t="shared" si="0"/>
        <v>15</v>
      </c>
    </row>
    <row r="27" spans="2:20">
      <c r="B27" s="78">
        <v>2</v>
      </c>
      <c r="C27" s="77" t="s">
        <v>374</v>
      </c>
      <c r="D27" s="78" t="s">
        <v>377</v>
      </c>
      <c r="E27" s="65" t="s">
        <v>348</v>
      </c>
      <c r="F27" s="65" t="s">
        <v>348</v>
      </c>
      <c r="G27" s="65" t="s">
        <v>348</v>
      </c>
      <c r="H27" s="65" t="s">
        <v>348</v>
      </c>
      <c r="I27" s="65" t="s">
        <v>348</v>
      </c>
      <c r="J27" s="65" t="s">
        <v>348</v>
      </c>
      <c r="K27" s="65" t="s">
        <v>348</v>
      </c>
      <c r="L27" s="65" t="s">
        <v>348</v>
      </c>
      <c r="M27" s="65" t="s">
        <v>348</v>
      </c>
      <c r="N27" s="65" t="s">
        <v>348</v>
      </c>
      <c r="O27" s="65" t="s">
        <v>348</v>
      </c>
      <c r="P27" s="65" t="s">
        <v>348</v>
      </c>
      <c r="Q27" s="65" t="s">
        <v>348</v>
      </c>
      <c r="R27" s="65" t="s">
        <v>348</v>
      </c>
      <c r="S27" s="65" t="s">
        <v>348</v>
      </c>
      <c r="T27" s="80">
        <f t="shared" si="0"/>
        <v>15</v>
      </c>
    </row>
    <row r="28" spans="2:20">
      <c r="B28" s="78">
        <v>2</v>
      </c>
      <c r="C28" s="77" t="s">
        <v>374</v>
      </c>
      <c r="D28" s="78" t="s">
        <v>378</v>
      </c>
      <c r="E28" s="65" t="s">
        <v>348</v>
      </c>
      <c r="F28" s="65" t="s">
        <v>348</v>
      </c>
      <c r="G28" s="65" t="s">
        <v>348</v>
      </c>
      <c r="H28" s="65" t="s">
        <v>348</v>
      </c>
      <c r="I28" s="65" t="s">
        <v>348</v>
      </c>
      <c r="J28" s="65"/>
      <c r="K28" s="65" t="s">
        <v>348</v>
      </c>
      <c r="L28" s="65" t="s">
        <v>348</v>
      </c>
      <c r="M28" s="65" t="s">
        <v>348</v>
      </c>
      <c r="N28" s="65" t="s">
        <v>348</v>
      </c>
      <c r="O28" s="65" t="s">
        <v>348</v>
      </c>
      <c r="P28" s="65" t="s">
        <v>348</v>
      </c>
      <c r="Q28" s="65" t="s">
        <v>348</v>
      </c>
      <c r="R28" s="65" t="s">
        <v>348</v>
      </c>
      <c r="S28" s="65" t="s">
        <v>348</v>
      </c>
      <c r="T28" s="80">
        <f t="shared" si="0"/>
        <v>14</v>
      </c>
    </row>
    <row r="29" spans="2:20">
      <c r="B29" s="78">
        <v>2</v>
      </c>
      <c r="C29" s="77" t="s">
        <v>374</v>
      </c>
      <c r="D29" s="78" t="s">
        <v>379</v>
      </c>
      <c r="E29" s="65"/>
      <c r="F29" s="65" t="s">
        <v>348</v>
      </c>
      <c r="G29" s="65" t="s">
        <v>348</v>
      </c>
      <c r="H29" s="65" t="s">
        <v>348</v>
      </c>
      <c r="I29" s="65"/>
      <c r="J29" s="65" t="s">
        <v>348</v>
      </c>
      <c r="K29" s="65" t="s">
        <v>348</v>
      </c>
      <c r="L29" s="65" t="s">
        <v>348</v>
      </c>
      <c r="M29" s="65" t="s">
        <v>348</v>
      </c>
      <c r="N29" s="65" t="s">
        <v>348</v>
      </c>
      <c r="O29" s="65" t="s">
        <v>348</v>
      </c>
      <c r="P29" s="65" t="s">
        <v>348</v>
      </c>
      <c r="Q29" s="65" t="s">
        <v>348</v>
      </c>
      <c r="R29" s="65" t="s">
        <v>348</v>
      </c>
      <c r="S29" s="65" t="s">
        <v>348</v>
      </c>
      <c r="T29" s="80">
        <f t="shared" si="0"/>
        <v>13</v>
      </c>
    </row>
    <row r="30" spans="2:20">
      <c r="B30" s="60">
        <v>2</v>
      </c>
      <c r="C30" s="77" t="s">
        <v>374</v>
      </c>
      <c r="D30" s="79" t="s">
        <v>380</v>
      </c>
      <c r="E30" s="65"/>
      <c r="F30" s="65"/>
      <c r="G30" s="65" t="s">
        <v>348</v>
      </c>
      <c r="H30" s="65" t="s">
        <v>348</v>
      </c>
      <c r="I30" s="65" t="s">
        <v>348</v>
      </c>
      <c r="J30" s="65" t="s">
        <v>348</v>
      </c>
      <c r="K30" s="65" t="s">
        <v>348</v>
      </c>
      <c r="L30" s="65" t="s">
        <v>348</v>
      </c>
      <c r="M30" s="65" t="s">
        <v>348</v>
      </c>
      <c r="N30" s="65" t="s">
        <v>348</v>
      </c>
      <c r="O30" s="65" t="s">
        <v>348</v>
      </c>
      <c r="P30" s="65" t="s">
        <v>348</v>
      </c>
      <c r="Q30" s="65" t="s">
        <v>348</v>
      </c>
      <c r="R30" s="65" t="s">
        <v>348</v>
      </c>
      <c r="S30" s="65" t="s">
        <v>348</v>
      </c>
      <c r="T30" s="80">
        <f t="shared" si="0"/>
        <v>13</v>
      </c>
    </row>
    <row r="31" spans="2:20">
      <c r="B31" s="78">
        <v>2</v>
      </c>
      <c r="C31" s="77" t="s">
        <v>374</v>
      </c>
      <c r="D31" s="78" t="s">
        <v>381</v>
      </c>
      <c r="E31" s="65" t="s">
        <v>348</v>
      </c>
      <c r="F31" s="65" t="s">
        <v>348</v>
      </c>
      <c r="G31" s="65" t="s">
        <v>348</v>
      </c>
      <c r="H31" s="65" t="s">
        <v>348</v>
      </c>
      <c r="I31" s="65"/>
      <c r="J31" s="65" t="s">
        <v>348</v>
      </c>
      <c r="K31" s="65" t="s">
        <v>348</v>
      </c>
      <c r="L31" s="65" t="s">
        <v>348</v>
      </c>
      <c r="M31" s="65"/>
      <c r="N31" s="65"/>
      <c r="O31" s="65" t="s">
        <v>348</v>
      </c>
      <c r="P31" s="65" t="s">
        <v>348</v>
      </c>
      <c r="Q31" s="65"/>
      <c r="R31" s="65"/>
      <c r="S31" s="65" t="s">
        <v>348</v>
      </c>
      <c r="T31" s="80">
        <f t="shared" si="0"/>
        <v>10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9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J32"/>
  <sheetViews>
    <sheetView view="pageBreakPreview" zoomScale="85" zoomScaleNormal="100" zoomScaleSheetLayoutView="85" workbookViewId="0">
      <selection activeCell="E28" sqref="E28"/>
    </sheetView>
  </sheetViews>
  <sheetFormatPr defaultRowHeight="16.5"/>
  <cols>
    <col min="1" max="1" width="6.75" style="81" customWidth="1"/>
    <col min="2" max="10" width="9.5" style="81" customWidth="1"/>
    <col min="11" max="16384" width="9" style="81"/>
  </cols>
  <sheetData>
    <row r="2" spans="2:10">
      <c r="B2" s="82" t="s">
        <v>60</v>
      </c>
      <c r="C2" s="83" t="s">
        <v>35</v>
      </c>
      <c r="D2" s="84" t="s">
        <v>382</v>
      </c>
      <c r="E2" s="82" t="s">
        <v>60</v>
      </c>
      <c r="F2" s="83" t="s">
        <v>35</v>
      </c>
      <c r="G2" s="84" t="s">
        <v>383</v>
      </c>
      <c r="H2" s="82" t="s">
        <v>60</v>
      </c>
      <c r="I2" s="83" t="s">
        <v>35</v>
      </c>
      <c r="J2" s="84" t="s">
        <v>384</v>
      </c>
    </row>
    <row r="3" spans="2:10">
      <c r="B3" s="85">
        <v>1</v>
      </c>
      <c r="C3" s="63" t="s">
        <v>347</v>
      </c>
      <c r="D3" s="47">
        <v>33</v>
      </c>
      <c r="E3" s="85">
        <v>31</v>
      </c>
      <c r="F3" s="63" t="s">
        <v>347</v>
      </c>
      <c r="G3" s="47">
        <v>32</v>
      </c>
      <c r="H3" s="85">
        <v>61</v>
      </c>
      <c r="I3" s="63" t="s">
        <v>347</v>
      </c>
      <c r="J3" s="47">
        <v>14</v>
      </c>
    </row>
    <row r="4" spans="2:10">
      <c r="B4" s="85">
        <v>2</v>
      </c>
      <c r="C4" s="68" t="s">
        <v>349</v>
      </c>
      <c r="D4" s="47">
        <v>43</v>
      </c>
      <c r="E4" s="85">
        <v>32</v>
      </c>
      <c r="F4" s="68" t="s">
        <v>349</v>
      </c>
      <c r="G4" s="47">
        <v>21</v>
      </c>
      <c r="H4" s="85">
        <v>62</v>
      </c>
      <c r="I4" s="68" t="s">
        <v>349</v>
      </c>
      <c r="J4" s="47">
        <v>56</v>
      </c>
    </row>
    <row r="5" spans="2:10">
      <c r="B5" s="85">
        <v>3</v>
      </c>
      <c r="C5" s="63" t="s">
        <v>350</v>
      </c>
      <c r="D5" s="47">
        <v>14</v>
      </c>
      <c r="E5" s="85">
        <v>33</v>
      </c>
      <c r="F5" s="63" t="s">
        <v>350</v>
      </c>
      <c r="G5" s="47">
        <v>45</v>
      </c>
      <c r="H5" s="85">
        <v>63</v>
      </c>
      <c r="I5" s="63" t="s">
        <v>350</v>
      </c>
      <c r="J5" s="47">
        <v>13</v>
      </c>
    </row>
    <row r="6" spans="2:10">
      <c r="B6" s="85">
        <v>4</v>
      </c>
      <c r="C6" s="71" t="s">
        <v>352</v>
      </c>
      <c r="D6" s="47">
        <v>56</v>
      </c>
      <c r="E6" s="85">
        <v>34</v>
      </c>
      <c r="F6" s="71" t="s">
        <v>352</v>
      </c>
      <c r="G6" s="47">
        <v>33</v>
      </c>
      <c r="H6" s="85">
        <v>64</v>
      </c>
      <c r="I6" s="71" t="s">
        <v>352</v>
      </c>
      <c r="J6" s="47">
        <v>12</v>
      </c>
    </row>
    <row r="7" spans="2:10">
      <c r="B7" s="85">
        <v>5</v>
      </c>
      <c r="C7" s="69" t="s">
        <v>353</v>
      </c>
      <c r="D7" s="47">
        <v>13</v>
      </c>
      <c r="E7" s="85">
        <v>35</v>
      </c>
      <c r="F7" s="69" t="s">
        <v>353</v>
      </c>
      <c r="G7" s="47">
        <v>21</v>
      </c>
      <c r="H7" s="85">
        <v>65</v>
      </c>
      <c r="I7" s="69" t="s">
        <v>353</v>
      </c>
      <c r="J7" s="47">
        <v>13</v>
      </c>
    </row>
    <row r="8" spans="2:10">
      <c r="B8" s="85">
        <v>6</v>
      </c>
      <c r="C8" s="69" t="s">
        <v>354</v>
      </c>
      <c r="D8" s="47">
        <v>12</v>
      </c>
      <c r="E8" s="85">
        <v>36</v>
      </c>
      <c r="F8" s="69" t="s">
        <v>354</v>
      </c>
      <c r="G8" s="47">
        <v>12</v>
      </c>
      <c r="H8" s="85">
        <v>66</v>
      </c>
      <c r="I8" s="69" t="s">
        <v>354</v>
      </c>
      <c r="J8" s="47">
        <v>54</v>
      </c>
    </row>
    <row r="9" spans="2:10">
      <c r="B9" s="85">
        <v>7</v>
      </c>
      <c r="C9" s="69" t="s">
        <v>355</v>
      </c>
      <c r="D9" s="47">
        <v>13</v>
      </c>
      <c r="E9" s="85">
        <v>37</v>
      </c>
      <c r="F9" s="69" t="s">
        <v>355</v>
      </c>
      <c r="G9" s="47">
        <v>32</v>
      </c>
      <c r="H9" s="85">
        <v>67</v>
      </c>
      <c r="I9" s="69" t="s">
        <v>355</v>
      </c>
      <c r="J9" s="47">
        <v>32</v>
      </c>
    </row>
    <row r="10" spans="2:10">
      <c r="B10" s="85">
        <v>8</v>
      </c>
      <c r="C10" s="72" t="s">
        <v>357</v>
      </c>
      <c r="D10" s="47">
        <v>54</v>
      </c>
      <c r="E10" s="85">
        <v>38</v>
      </c>
      <c r="F10" s="72" t="s">
        <v>357</v>
      </c>
      <c r="G10" s="47">
        <v>45</v>
      </c>
      <c r="H10" s="85">
        <v>68</v>
      </c>
      <c r="I10" s="72" t="s">
        <v>357</v>
      </c>
      <c r="J10" s="47">
        <v>21</v>
      </c>
    </row>
    <row r="11" spans="2:10">
      <c r="B11" s="85">
        <v>9</v>
      </c>
      <c r="C11" s="72" t="s">
        <v>358</v>
      </c>
      <c r="D11" s="47">
        <v>32</v>
      </c>
      <c r="E11" s="85">
        <v>39</v>
      </c>
      <c r="F11" s="72" t="s">
        <v>358</v>
      </c>
      <c r="G11" s="47">
        <v>32</v>
      </c>
      <c r="H11" s="85">
        <v>69</v>
      </c>
      <c r="I11" s="72" t="s">
        <v>358</v>
      </c>
      <c r="J11" s="47">
        <v>45</v>
      </c>
    </row>
    <row r="12" spans="2:10">
      <c r="B12" s="85">
        <v>10</v>
      </c>
      <c r="C12" s="72" t="s">
        <v>359</v>
      </c>
      <c r="D12" s="47">
        <v>21</v>
      </c>
      <c r="E12" s="85">
        <v>40</v>
      </c>
      <c r="F12" s="72" t="s">
        <v>359</v>
      </c>
      <c r="G12" s="47">
        <v>0</v>
      </c>
      <c r="H12" s="85">
        <v>70</v>
      </c>
      <c r="I12" s="72" t="s">
        <v>359</v>
      </c>
      <c r="J12" s="47">
        <v>33</v>
      </c>
    </row>
    <row r="13" spans="2:10">
      <c r="B13" s="85">
        <v>11</v>
      </c>
      <c r="C13" s="69" t="s">
        <v>361</v>
      </c>
      <c r="D13" s="47">
        <v>45</v>
      </c>
      <c r="E13" s="85">
        <v>41</v>
      </c>
      <c r="F13" s="69" t="s">
        <v>361</v>
      </c>
      <c r="G13" s="69">
        <v>21</v>
      </c>
      <c r="H13" s="85">
        <v>71</v>
      </c>
      <c r="I13" s="69" t="s">
        <v>361</v>
      </c>
      <c r="J13" s="47">
        <v>21</v>
      </c>
    </row>
    <row r="14" spans="2:10">
      <c r="B14" s="85">
        <v>12</v>
      </c>
      <c r="C14" s="69" t="s">
        <v>362</v>
      </c>
      <c r="D14" s="47">
        <v>33</v>
      </c>
      <c r="E14" s="85">
        <v>42</v>
      </c>
      <c r="F14" s="69" t="s">
        <v>362</v>
      </c>
      <c r="G14" s="69">
        <v>35</v>
      </c>
      <c r="H14" s="85">
        <v>72</v>
      </c>
      <c r="I14" s="69" t="s">
        <v>362</v>
      </c>
      <c r="J14" s="47">
        <v>12</v>
      </c>
    </row>
    <row r="15" spans="2:10">
      <c r="B15" s="85">
        <v>13</v>
      </c>
      <c r="C15" s="63" t="s">
        <v>364</v>
      </c>
      <c r="D15" s="47">
        <v>21</v>
      </c>
      <c r="E15" s="85">
        <v>43</v>
      </c>
      <c r="F15" s="63" t="s">
        <v>364</v>
      </c>
      <c r="G15" s="63">
        <v>65</v>
      </c>
      <c r="H15" s="85">
        <v>73</v>
      </c>
      <c r="I15" s="63" t="s">
        <v>364</v>
      </c>
      <c r="J15" s="47">
        <v>32</v>
      </c>
    </row>
    <row r="16" spans="2:10">
      <c r="B16" s="85">
        <v>14</v>
      </c>
      <c r="C16" s="63" t="s">
        <v>365</v>
      </c>
      <c r="D16" s="47">
        <v>12</v>
      </c>
      <c r="E16" s="85">
        <v>44</v>
      </c>
      <c r="F16" s="63" t="s">
        <v>365</v>
      </c>
      <c r="G16" s="63">
        <v>43</v>
      </c>
      <c r="H16" s="85">
        <v>74</v>
      </c>
      <c r="I16" s="63" t="s">
        <v>365</v>
      </c>
      <c r="J16" s="47">
        <v>45</v>
      </c>
    </row>
    <row r="17" spans="2:10">
      <c r="B17" s="85">
        <v>15</v>
      </c>
      <c r="C17" s="63" t="s">
        <v>366</v>
      </c>
      <c r="D17" s="47">
        <v>32</v>
      </c>
      <c r="E17" s="85">
        <v>45</v>
      </c>
      <c r="F17" s="63" t="s">
        <v>366</v>
      </c>
      <c r="G17" s="63">
        <v>42</v>
      </c>
      <c r="H17" s="85">
        <v>75</v>
      </c>
      <c r="I17" s="63" t="s">
        <v>366</v>
      </c>
      <c r="J17" s="47">
        <v>32</v>
      </c>
    </row>
    <row r="18" spans="2:10">
      <c r="B18" s="85">
        <v>16</v>
      </c>
      <c r="C18" s="63" t="s">
        <v>367</v>
      </c>
      <c r="D18" s="47">
        <v>45</v>
      </c>
      <c r="E18" s="85">
        <v>46</v>
      </c>
      <c r="F18" s="63" t="s">
        <v>367</v>
      </c>
      <c r="G18" s="63">
        <v>12</v>
      </c>
      <c r="H18" s="85">
        <v>76</v>
      </c>
      <c r="I18" s="63" t="s">
        <v>367</v>
      </c>
      <c r="J18" s="47">
        <v>0</v>
      </c>
    </row>
    <row r="19" spans="2:10">
      <c r="B19" s="85">
        <v>17</v>
      </c>
      <c r="C19" s="72" t="s">
        <v>369</v>
      </c>
      <c r="D19" s="47">
        <v>32</v>
      </c>
      <c r="E19" s="85">
        <v>47</v>
      </c>
      <c r="F19" s="72" t="s">
        <v>369</v>
      </c>
      <c r="G19" s="63">
        <v>23</v>
      </c>
      <c r="H19" s="85">
        <v>77</v>
      </c>
      <c r="I19" s="72" t="s">
        <v>369</v>
      </c>
      <c r="J19" s="47">
        <v>86</v>
      </c>
    </row>
    <row r="20" spans="2:10">
      <c r="B20" s="85">
        <v>18</v>
      </c>
      <c r="C20" s="72" t="s">
        <v>370</v>
      </c>
      <c r="D20" s="47">
        <v>0</v>
      </c>
      <c r="E20" s="85">
        <v>48</v>
      </c>
      <c r="F20" s="72" t="s">
        <v>370</v>
      </c>
      <c r="G20" s="63">
        <v>46</v>
      </c>
      <c r="H20" s="85">
        <v>78</v>
      </c>
      <c r="I20" s="72" t="s">
        <v>370</v>
      </c>
      <c r="J20" s="47">
        <v>32</v>
      </c>
    </row>
    <row r="21" spans="2:10">
      <c r="B21" s="85">
        <v>19</v>
      </c>
      <c r="C21" s="69" t="s">
        <v>371</v>
      </c>
      <c r="D21" s="47">
        <v>86</v>
      </c>
      <c r="E21" s="85">
        <v>49</v>
      </c>
      <c r="F21" s="69" t="s">
        <v>371</v>
      </c>
      <c r="G21" s="63">
        <v>75</v>
      </c>
      <c r="H21" s="85">
        <v>79</v>
      </c>
      <c r="I21" s="69" t="s">
        <v>371</v>
      </c>
      <c r="J21" s="47">
        <v>45</v>
      </c>
    </row>
    <row r="22" spans="2:10">
      <c r="B22" s="85">
        <v>20</v>
      </c>
      <c r="C22" s="72" t="s">
        <v>372</v>
      </c>
      <c r="D22" s="47">
        <v>33</v>
      </c>
      <c r="E22" s="85">
        <v>50</v>
      </c>
      <c r="F22" s="72" t="s">
        <v>372</v>
      </c>
      <c r="G22" s="63">
        <v>32</v>
      </c>
      <c r="H22" s="85">
        <v>80</v>
      </c>
      <c r="I22" s="72" t="s">
        <v>372</v>
      </c>
      <c r="J22" s="47">
        <v>32</v>
      </c>
    </row>
    <row r="23" spans="2:10">
      <c r="B23" s="85">
        <v>21</v>
      </c>
      <c r="C23" s="72" t="s">
        <v>373</v>
      </c>
      <c r="D23" s="47">
        <v>23</v>
      </c>
      <c r="E23" s="85">
        <v>51</v>
      </c>
      <c r="F23" s="72" t="s">
        <v>373</v>
      </c>
      <c r="G23" s="47">
        <v>56</v>
      </c>
      <c r="H23" s="85">
        <v>81</v>
      </c>
      <c r="I23" s="72" t="s">
        <v>373</v>
      </c>
      <c r="J23" s="47">
        <v>0</v>
      </c>
    </row>
    <row r="24" spans="2:10">
      <c r="B24" s="85">
        <v>22</v>
      </c>
      <c r="C24" s="78" t="s">
        <v>375</v>
      </c>
      <c r="D24" s="47">
        <v>44</v>
      </c>
      <c r="E24" s="85">
        <v>52</v>
      </c>
      <c r="F24" s="78" t="s">
        <v>375</v>
      </c>
      <c r="G24" s="47">
        <v>13</v>
      </c>
      <c r="H24" s="85">
        <v>82</v>
      </c>
      <c r="I24" s="78" t="s">
        <v>375</v>
      </c>
      <c r="J24" s="69">
        <v>21</v>
      </c>
    </row>
    <row r="25" spans="2:10">
      <c r="B25" s="85">
        <v>23</v>
      </c>
      <c r="C25" s="78" t="s">
        <v>376</v>
      </c>
      <c r="D25" s="47">
        <v>55</v>
      </c>
      <c r="E25" s="85">
        <v>53</v>
      </c>
      <c r="F25" s="78" t="s">
        <v>376</v>
      </c>
      <c r="G25" s="47">
        <v>12</v>
      </c>
      <c r="H25" s="85">
        <v>83</v>
      </c>
      <c r="I25" s="78" t="s">
        <v>376</v>
      </c>
      <c r="J25" s="69">
        <v>35</v>
      </c>
    </row>
    <row r="26" spans="2:10">
      <c r="B26" s="85">
        <v>24</v>
      </c>
      <c r="C26" s="78" t="s">
        <v>377</v>
      </c>
      <c r="D26" s="47">
        <v>66</v>
      </c>
      <c r="E26" s="85">
        <v>54</v>
      </c>
      <c r="F26" s="78" t="s">
        <v>377</v>
      </c>
      <c r="G26" s="47">
        <v>13</v>
      </c>
      <c r="H26" s="85">
        <v>84</v>
      </c>
      <c r="I26" s="78" t="s">
        <v>377</v>
      </c>
      <c r="J26" s="63">
        <v>65</v>
      </c>
    </row>
    <row r="27" spans="2:10">
      <c r="B27" s="85">
        <v>25</v>
      </c>
      <c r="C27" s="78" t="s">
        <v>378</v>
      </c>
      <c r="D27" s="47">
        <v>75</v>
      </c>
      <c r="E27" s="85">
        <v>55</v>
      </c>
      <c r="F27" s="78" t="s">
        <v>378</v>
      </c>
      <c r="G27" s="47">
        <v>54</v>
      </c>
      <c r="H27" s="85">
        <v>85</v>
      </c>
      <c r="I27" s="78" t="s">
        <v>378</v>
      </c>
      <c r="J27" s="63">
        <v>43</v>
      </c>
    </row>
    <row r="28" spans="2:10">
      <c r="B28" s="85">
        <v>26</v>
      </c>
      <c r="C28" s="78" t="s">
        <v>379</v>
      </c>
      <c r="D28" s="47">
        <v>21</v>
      </c>
      <c r="E28" s="85">
        <v>56</v>
      </c>
      <c r="F28" s="78" t="s">
        <v>379</v>
      </c>
      <c r="G28" s="47">
        <v>32</v>
      </c>
      <c r="H28" s="85">
        <v>86</v>
      </c>
      <c r="I28" s="78" t="s">
        <v>379</v>
      </c>
      <c r="J28" s="63">
        <v>42</v>
      </c>
    </row>
    <row r="29" spans="2:10">
      <c r="B29" s="85">
        <v>27</v>
      </c>
      <c r="C29" s="86" t="s">
        <v>380</v>
      </c>
      <c r="D29" s="47">
        <v>26</v>
      </c>
      <c r="E29" s="85">
        <v>57</v>
      </c>
      <c r="F29" s="86" t="s">
        <v>380</v>
      </c>
      <c r="G29" s="47">
        <v>21</v>
      </c>
      <c r="H29" s="85">
        <v>87</v>
      </c>
      <c r="I29" s="86" t="s">
        <v>380</v>
      </c>
      <c r="J29" s="63">
        <v>12</v>
      </c>
    </row>
    <row r="30" spans="2:10">
      <c r="B30" s="85">
        <v>28</v>
      </c>
      <c r="C30" s="78" t="s">
        <v>381</v>
      </c>
      <c r="D30" s="47">
        <v>17</v>
      </c>
      <c r="E30" s="85">
        <v>58</v>
      </c>
      <c r="F30" s="78" t="s">
        <v>381</v>
      </c>
      <c r="G30" s="47">
        <v>45</v>
      </c>
      <c r="H30" s="85">
        <v>88</v>
      </c>
      <c r="I30" s="78" t="s">
        <v>381</v>
      </c>
      <c r="J30" s="63">
        <v>34</v>
      </c>
    </row>
    <row r="31" spans="2:10">
      <c r="B31" s="85">
        <v>29</v>
      </c>
      <c r="C31" s="78" t="s">
        <v>385</v>
      </c>
      <c r="D31" s="47">
        <v>32</v>
      </c>
      <c r="E31" s="85">
        <v>59</v>
      </c>
      <c r="F31" s="78" t="s">
        <v>385</v>
      </c>
      <c r="G31" s="63">
        <v>56</v>
      </c>
      <c r="H31" s="85">
        <v>89</v>
      </c>
      <c r="I31" s="78" t="s">
        <v>385</v>
      </c>
      <c r="J31" s="63">
        <v>53</v>
      </c>
    </row>
    <row r="32" spans="2:10">
      <c r="B32" s="85">
        <v>30</v>
      </c>
      <c r="C32" s="78" t="s">
        <v>386</v>
      </c>
      <c r="D32" s="47">
        <v>11</v>
      </c>
      <c r="E32" s="85">
        <v>60</v>
      </c>
      <c r="F32" s="78" t="s">
        <v>386</v>
      </c>
      <c r="G32" s="63">
        <v>78</v>
      </c>
      <c r="H32" s="85">
        <v>90</v>
      </c>
      <c r="I32" s="78" t="s">
        <v>386</v>
      </c>
      <c r="J32" s="63">
        <v>87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  <rowBreaks count="3" manualBreakCount="3">
    <brk id="1" max="9" man="1"/>
    <brk id="12" max="9" man="1"/>
    <brk id="22" max="9" man="1"/>
  </rowBreaks>
  <colBreaks count="3" manualBreakCount="3">
    <brk id="1" max="31" man="1"/>
    <brk id="4" max="31" man="1"/>
    <brk id="7" max="31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P102"/>
  <sheetViews>
    <sheetView topLeftCell="A51" workbookViewId="0">
      <selection activeCell="M69" sqref="M69"/>
    </sheetView>
  </sheetViews>
  <sheetFormatPr defaultRowHeight="16.5"/>
  <cols>
    <col min="1" max="1" width="6.625" customWidth="1"/>
    <col min="2" max="2" width="9.125" customWidth="1"/>
    <col min="3" max="3" width="15.125" bestFit="1" customWidth="1"/>
    <col min="4" max="4" width="16" bestFit="1" customWidth="1"/>
    <col min="5" max="5" width="17.875" bestFit="1" customWidth="1"/>
    <col min="6" max="6" width="11.125" bestFit="1" customWidth="1"/>
    <col min="7" max="7" width="18.875" customWidth="1"/>
    <col min="8" max="8" width="17.375" bestFit="1" customWidth="1"/>
    <col min="9" max="9" width="9" bestFit="1" customWidth="1"/>
    <col min="10" max="10" width="23.75" bestFit="1" customWidth="1"/>
    <col min="11" max="11" width="7.125" customWidth="1"/>
  </cols>
  <sheetData>
    <row r="2" spans="2:16">
      <c r="B2" t="s">
        <v>167</v>
      </c>
      <c r="J2" t="s">
        <v>168</v>
      </c>
    </row>
    <row r="3" spans="2:16">
      <c r="B3" s="23" t="s">
        <v>60</v>
      </c>
      <c r="C3" s="23" t="s">
        <v>169</v>
      </c>
      <c r="D3" s="23" t="s">
        <v>170</v>
      </c>
      <c r="E3" s="23" t="s">
        <v>171</v>
      </c>
      <c r="F3" s="23" t="s">
        <v>172</v>
      </c>
      <c r="G3" s="23" t="s">
        <v>173</v>
      </c>
      <c r="H3" s="24" t="s">
        <v>174</v>
      </c>
      <c r="I3" s="31"/>
      <c r="J3" s="23" t="s">
        <v>170</v>
      </c>
      <c r="K3" s="23" t="s">
        <v>171</v>
      </c>
      <c r="L3" s="23" t="s">
        <v>172</v>
      </c>
      <c r="M3" s="23" t="s">
        <v>173</v>
      </c>
    </row>
    <row r="4" spans="2:16">
      <c r="B4" s="23">
        <v>1</v>
      </c>
      <c r="C4" s="32" t="s">
        <v>175</v>
      </c>
      <c r="D4" s="23">
        <v>50</v>
      </c>
      <c r="E4" s="23">
        <v>90</v>
      </c>
      <c r="F4" s="23">
        <v>97</v>
      </c>
      <c r="G4" s="23">
        <v>100</v>
      </c>
      <c r="H4" s="33">
        <f>IF(D4&lt;70,SUMPRODUCT(D4:G4,$J$4:$M$4),HLOOKUP(SUMPRODUCT(D4:G4,$J$4:$M$4),$J$7:$M$9,3,1))</f>
        <v>85.449999999999989</v>
      </c>
      <c r="I4" s="31"/>
      <c r="J4" s="21">
        <v>0.2</v>
      </c>
      <c r="K4" s="21">
        <v>0.35</v>
      </c>
      <c r="L4" s="21">
        <v>0.35</v>
      </c>
      <c r="M4" s="21">
        <v>0.1</v>
      </c>
    </row>
    <row r="5" spans="2:16">
      <c r="B5" s="23">
        <v>2</v>
      </c>
      <c r="C5" s="32" t="s">
        <v>176</v>
      </c>
      <c r="D5" s="23">
        <v>70</v>
      </c>
      <c r="E5" s="23">
        <v>100</v>
      </c>
      <c r="F5" s="23">
        <v>100</v>
      </c>
      <c r="G5" s="23">
        <v>90</v>
      </c>
      <c r="H5" s="33" t="str">
        <f t="shared" ref="H5:H13" si="0">IF(D5&lt;70,SUMPRODUCT(D5:G5,$J$4:$M$4),HLOOKUP(SUMPRODUCT(D5:G5,$J$4:$M$4),$J$7:$M$9,3,1))</f>
        <v>상</v>
      </c>
      <c r="I5" s="31"/>
    </row>
    <row r="6" spans="2:16">
      <c r="B6" s="23">
        <v>3</v>
      </c>
      <c r="C6" s="32" t="s">
        <v>177</v>
      </c>
      <c r="D6" s="23">
        <v>85</v>
      </c>
      <c r="E6" s="23">
        <v>100</v>
      </c>
      <c r="F6" s="23">
        <v>84</v>
      </c>
      <c r="G6" s="23">
        <v>85</v>
      </c>
      <c r="H6" s="33" t="str">
        <f t="shared" si="0"/>
        <v>중</v>
      </c>
      <c r="I6" s="31"/>
      <c r="J6" s="34" t="s">
        <v>178</v>
      </c>
      <c r="K6" s="31"/>
      <c r="L6" s="31"/>
      <c r="M6" s="31"/>
    </row>
    <row r="7" spans="2:16">
      <c r="B7" s="23">
        <v>4</v>
      </c>
      <c r="C7" s="32" t="s">
        <v>179</v>
      </c>
      <c r="D7" s="23">
        <v>69</v>
      </c>
      <c r="E7" s="23">
        <v>94</v>
      </c>
      <c r="F7" s="23">
        <v>90</v>
      </c>
      <c r="G7" s="23">
        <v>90</v>
      </c>
      <c r="H7" s="33">
        <f t="shared" si="0"/>
        <v>87.2</v>
      </c>
      <c r="I7" s="31"/>
      <c r="J7" s="35">
        <v>0</v>
      </c>
      <c r="K7" s="35">
        <v>70</v>
      </c>
      <c r="L7" s="35">
        <v>80</v>
      </c>
      <c r="M7" s="35">
        <v>90</v>
      </c>
    </row>
    <row r="8" spans="2:16">
      <c r="B8" s="23">
        <v>5</v>
      </c>
      <c r="C8" s="32" t="s">
        <v>180</v>
      </c>
      <c r="D8" s="36">
        <v>100</v>
      </c>
      <c r="E8" s="36">
        <v>100</v>
      </c>
      <c r="F8" s="36">
        <v>100</v>
      </c>
      <c r="G8" s="36">
        <v>100</v>
      </c>
      <c r="H8" s="33" t="str">
        <f t="shared" si="0"/>
        <v>상</v>
      </c>
      <c r="I8" s="31"/>
      <c r="J8" s="37">
        <v>69</v>
      </c>
      <c r="K8" s="37">
        <v>79</v>
      </c>
      <c r="L8" s="37">
        <v>89</v>
      </c>
      <c r="M8" s="37">
        <v>100</v>
      </c>
    </row>
    <row r="9" spans="2:16">
      <c r="B9" s="23">
        <v>6</v>
      </c>
      <c r="C9" s="32" t="s">
        <v>181</v>
      </c>
      <c r="D9" s="36">
        <v>69</v>
      </c>
      <c r="E9" s="36">
        <v>67</v>
      </c>
      <c r="F9" s="36">
        <v>67</v>
      </c>
      <c r="G9" s="36">
        <v>91</v>
      </c>
      <c r="H9" s="33">
        <f t="shared" si="0"/>
        <v>69.8</v>
      </c>
      <c r="I9" s="31"/>
      <c r="J9" s="23" t="s">
        <v>182</v>
      </c>
      <c r="K9" s="23" t="s">
        <v>183</v>
      </c>
      <c r="L9" s="23" t="s">
        <v>184</v>
      </c>
      <c r="M9" s="23" t="s">
        <v>185</v>
      </c>
    </row>
    <row r="10" spans="2:16">
      <c r="B10" s="23">
        <v>7</v>
      </c>
      <c r="C10" s="32" t="s">
        <v>186</v>
      </c>
      <c r="D10" s="36">
        <v>99</v>
      </c>
      <c r="E10" s="36">
        <v>87</v>
      </c>
      <c r="F10" s="36">
        <v>87</v>
      </c>
      <c r="G10" s="36">
        <v>85</v>
      </c>
      <c r="H10" s="33" t="str">
        <f t="shared" si="0"/>
        <v>중</v>
      </c>
      <c r="I10" s="31"/>
      <c r="J10" s="31"/>
      <c r="K10" s="31"/>
      <c r="L10" s="31"/>
      <c r="M10" s="31"/>
    </row>
    <row r="11" spans="2:16">
      <c r="B11" s="23">
        <v>8</v>
      </c>
      <c r="C11" s="32" t="s">
        <v>187</v>
      </c>
      <c r="D11" s="36">
        <v>46</v>
      </c>
      <c r="E11" s="36">
        <v>92</v>
      </c>
      <c r="F11" s="36">
        <v>92</v>
      </c>
      <c r="G11" s="36">
        <v>67</v>
      </c>
      <c r="H11" s="33">
        <f t="shared" si="0"/>
        <v>80.3</v>
      </c>
      <c r="I11" s="31"/>
      <c r="J11" s="31"/>
      <c r="K11" s="31"/>
      <c r="L11" s="31"/>
      <c r="M11" s="31"/>
    </row>
    <row r="12" spans="2:16">
      <c r="B12" s="23">
        <v>9</v>
      </c>
      <c r="C12" s="32" t="s">
        <v>188</v>
      </c>
      <c r="D12" s="36">
        <v>79</v>
      </c>
      <c r="E12" s="36">
        <v>98</v>
      </c>
      <c r="F12" s="36">
        <v>91</v>
      </c>
      <c r="G12" s="36">
        <v>87</v>
      </c>
      <c r="H12" s="33" t="str">
        <f t="shared" si="0"/>
        <v>상</v>
      </c>
      <c r="I12" s="31"/>
      <c r="J12" s="31"/>
      <c r="K12" s="31"/>
      <c r="L12" s="31"/>
      <c r="M12" s="31"/>
    </row>
    <row r="13" spans="2:16">
      <c r="B13" s="23">
        <v>10</v>
      </c>
      <c r="C13" s="32" t="s">
        <v>189</v>
      </c>
      <c r="D13" s="36">
        <v>87</v>
      </c>
      <c r="E13" s="36">
        <v>15</v>
      </c>
      <c r="F13" s="36">
        <v>85</v>
      </c>
      <c r="G13" s="36">
        <v>12</v>
      </c>
      <c r="H13" s="33" t="str">
        <f t="shared" si="0"/>
        <v>재평가</v>
      </c>
      <c r="I13" s="31"/>
      <c r="J13" s="31"/>
      <c r="K13" s="31"/>
      <c r="L13" s="31"/>
      <c r="M13" s="31"/>
    </row>
    <row r="14" spans="2:16"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P14" s="42"/>
    </row>
    <row r="20" spans="2:10">
      <c r="B20" t="s">
        <v>190</v>
      </c>
    </row>
    <row r="21" spans="2:10">
      <c r="B21" s="23" t="s">
        <v>191</v>
      </c>
      <c r="C21" s="23" t="s">
        <v>174</v>
      </c>
      <c r="D21" s="23" t="s">
        <v>192</v>
      </c>
      <c r="E21" s="23" t="s">
        <v>193</v>
      </c>
    </row>
    <row r="22" spans="2:10">
      <c r="B22" s="23" t="s">
        <v>194</v>
      </c>
      <c r="C22" s="23" t="s">
        <v>195</v>
      </c>
      <c r="D22" s="38">
        <v>8.6999999999999993</v>
      </c>
      <c r="E22" s="38" t="s">
        <v>196</v>
      </c>
    </row>
    <row r="23" spans="2:10">
      <c r="B23" s="23" t="s">
        <v>23</v>
      </c>
      <c r="C23" s="23" t="s">
        <v>197</v>
      </c>
      <c r="D23" s="38">
        <v>5.4</v>
      </c>
      <c r="E23" s="38" t="s">
        <v>198</v>
      </c>
    </row>
    <row r="24" spans="2:10">
      <c r="B24" s="23" t="s">
        <v>24</v>
      </c>
      <c r="C24" s="23" t="s">
        <v>199</v>
      </c>
      <c r="D24" s="38">
        <v>9.5500000000000007</v>
      </c>
      <c r="E24" s="38" t="s">
        <v>200</v>
      </c>
    </row>
    <row r="25" spans="2:10">
      <c r="B25" s="23" t="s">
        <v>25</v>
      </c>
      <c r="C25" s="23" t="s">
        <v>197</v>
      </c>
      <c r="D25" s="38">
        <v>7.4</v>
      </c>
      <c r="E25" s="39" t="s">
        <v>201</v>
      </c>
      <c r="G25" t="s">
        <v>213</v>
      </c>
    </row>
    <row r="26" spans="2:10">
      <c r="B26" s="23" t="s">
        <v>26</v>
      </c>
      <c r="C26" s="23" t="s">
        <v>199</v>
      </c>
      <c r="D26" s="38">
        <v>8.85</v>
      </c>
      <c r="E26" s="39" t="s">
        <v>202</v>
      </c>
      <c r="G26" s="23"/>
      <c r="H26" s="23" t="s">
        <v>197</v>
      </c>
      <c r="I26" s="23" t="s">
        <v>199</v>
      </c>
      <c r="J26" s="23" t="s">
        <v>195</v>
      </c>
    </row>
    <row r="27" spans="2:10">
      <c r="B27" s="23" t="s">
        <v>27</v>
      </c>
      <c r="C27" s="23" t="s">
        <v>195</v>
      </c>
      <c r="D27" s="38">
        <v>9.91</v>
      </c>
      <c r="E27" s="39" t="s">
        <v>203</v>
      </c>
      <c r="G27" s="40" t="s">
        <v>209</v>
      </c>
      <c r="H27" s="41">
        <f t="array" ref="H27">LARGE(IF($C$22:$C$31=H$26,$D$22:$D$31), LEFT($G27,1))</f>
        <v>8.8119999999999994</v>
      </c>
      <c r="I27" s="41">
        <f t="array" ref="I27">LARGE(IF($C$22:$C$31=I$26,$D$22:$D$31), LEFT($G27,1))</f>
        <v>9.5500000000000007</v>
      </c>
      <c r="J27" s="41">
        <f t="array" ref="J27">LARGE(IF($C$22:$C$31=J$26,$D$22:$D$31), LEFT($G27,1))</f>
        <v>9.91</v>
      </c>
    </row>
    <row r="28" spans="2:10">
      <c r="B28" s="23" t="s">
        <v>28</v>
      </c>
      <c r="C28" s="23" t="s">
        <v>195</v>
      </c>
      <c r="D28" s="38">
        <v>7.65</v>
      </c>
      <c r="E28" s="39" t="s">
        <v>204</v>
      </c>
      <c r="G28" s="40" t="s">
        <v>210</v>
      </c>
      <c r="H28" s="41">
        <f t="array" ref="H28">LARGE(IF($C$22:$C$31=H$26,$D$22:$D$31), LEFT($G28,1))</f>
        <v>7.8</v>
      </c>
      <c r="I28" s="41">
        <f t="array" ref="I28">LARGE(IF($C$22:$C$31=I$26,$D$22:$D$31), LEFT($G28,1))</f>
        <v>8.85</v>
      </c>
      <c r="J28" s="41">
        <f t="array" ref="J28">LARGE(IF($C$22:$C$31=J$26,$D$22:$D$31), LEFT($G28,1))</f>
        <v>8.6999999999999993</v>
      </c>
    </row>
    <row r="29" spans="2:10">
      <c r="B29" s="23" t="s">
        <v>29</v>
      </c>
      <c r="C29" s="23" t="s">
        <v>199</v>
      </c>
      <c r="D29" s="38">
        <v>6.5</v>
      </c>
      <c r="E29" s="39" t="s">
        <v>205</v>
      </c>
      <c r="G29" s="40" t="s">
        <v>211</v>
      </c>
      <c r="H29" s="41">
        <f t="array" ref="H29">LARGE(IF($C$22:$C$31=H$26,$D$22:$D$31), LEFT($G29,1))</f>
        <v>7.4</v>
      </c>
      <c r="I29" s="41">
        <f t="array" ref="I29">LARGE(IF($C$22:$C$31=I$26,$D$22:$D$31), LEFT($G29,1))</f>
        <v>6.5</v>
      </c>
      <c r="J29" s="41">
        <f t="array" ref="J29">LARGE(IF($C$22:$C$31=J$26,$D$22:$D$31), LEFT($G29,1))</f>
        <v>7.65</v>
      </c>
    </row>
    <row r="30" spans="2:10">
      <c r="B30" s="23" t="s">
        <v>30</v>
      </c>
      <c r="C30" s="23" t="s">
        <v>197</v>
      </c>
      <c r="D30" s="38">
        <v>7.8</v>
      </c>
      <c r="E30" s="39" t="s">
        <v>206</v>
      </c>
    </row>
    <row r="31" spans="2:10">
      <c r="B31" s="23" t="s">
        <v>31</v>
      </c>
      <c r="C31" s="23" t="s">
        <v>197</v>
      </c>
      <c r="D31" s="38">
        <v>8.8119999999999994</v>
      </c>
      <c r="E31" s="39" t="s">
        <v>207</v>
      </c>
    </row>
    <row r="32" spans="2:10" hidden="1"/>
    <row r="33" spans="2:10">
      <c r="B33" t="s">
        <v>208</v>
      </c>
      <c r="G33" t="s">
        <v>212</v>
      </c>
    </row>
    <row r="34" spans="2:10">
      <c r="B34" s="23"/>
      <c r="C34" s="23" t="s">
        <v>197</v>
      </c>
      <c r="D34" s="23" t="s">
        <v>199</v>
      </c>
      <c r="E34" s="23" t="s">
        <v>195</v>
      </c>
      <c r="G34" s="23"/>
      <c r="H34" s="40" t="s">
        <v>209</v>
      </c>
      <c r="I34" s="40" t="s">
        <v>210</v>
      </c>
      <c r="J34" s="40" t="s">
        <v>211</v>
      </c>
    </row>
    <row r="35" spans="2:10">
      <c r="B35" s="40" t="s">
        <v>209</v>
      </c>
      <c r="C35" s="41">
        <f t="array" ref="C35:C37">LARGE(IF($C$22:$C$31=C$34,$D$22:$D$31),{1;2;3})</f>
        <v>8.8119999999999994</v>
      </c>
      <c r="D35" s="41">
        <f t="array" ref="D35:D37">LARGE(IF($C$22:$C$31=D$34,$D$22:$D$31),{1;2;3})</f>
        <v>9.5500000000000007</v>
      </c>
      <c r="E35" s="41">
        <f t="array" ref="E35:E37">LARGE(IF($C$22:$C$31=E$34,$D$22:$D$31),{1;2;3})</f>
        <v>9.91</v>
      </c>
      <c r="G35" s="23" t="s">
        <v>197</v>
      </c>
      <c r="H35" s="41">
        <f t="array" ref="H35:J35">LARGE(IF($C$22:$C$31=$G35,$D$22:$D$31),{1,2,3})</f>
        <v>8.8119999999999994</v>
      </c>
      <c r="I35" s="41">
        <v>7.8</v>
      </c>
      <c r="J35" s="41">
        <v>7.4</v>
      </c>
    </row>
    <row r="36" spans="2:10">
      <c r="B36" s="40" t="s">
        <v>210</v>
      </c>
      <c r="C36" s="41">
        <v>7.8</v>
      </c>
      <c r="D36" s="41">
        <v>8.85</v>
      </c>
      <c r="E36" s="41">
        <v>8.6999999999999993</v>
      </c>
      <c r="G36" s="23" t="s">
        <v>199</v>
      </c>
      <c r="H36" s="41">
        <f t="array" ref="H36:J36">LARGE(IF($C$22:$C$31=$G36,$D$22:$D$31),{1,2,3})</f>
        <v>9.5500000000000007</v>
      </c>
      <c r="I36" s="41">
        <v>8.85</v>
      </c>
      <c r="J36" s="41">
        <v>6.5</v>
      </c>
    </row>
    <row r="37" spans="2:10">
      <c r="B37" s="40" t="s">
        <v>211</v>
      </c>
      <c r="C37" s="41">
        <v>7.4</v>
      </c>
      <c r="D37" s="41">
        <v>6.5</v>
      </c>
      <c r="E37" s="41">
        <v>7.65</v>
      </c>
      <c r="G37" s="23" t="s">
        <v>195</v>
      </c>
      <c r="H37" s="41">
        <f t="array" ref="H37:J37">LARGE(IF($C$22:$C$31=$G37,$D$22:$D$31),{1,2,3})</f>
        <v>9.91</v>
      </c>
      <c r="I37" s="41">
        <v>8.6999999999999993</v>
      </c>
      <c r="J37" s="41">
        <v>7.65</v>
      </c>
    </row>
    <row r="40" spans="2:10">
      <c r="G40" s="43"/>
    </row>
    <row r="43" spans="2:10">
      <c r="B43" t="s">
        <v>214</v>
      </c>
    </row>
    <row r="44" spans="2:10">
      <c r="B44" s="44" t="s">
        <v>33</v>
      </c>
      <c r="C44" s="45" t="s">
        <v>137</v>
      </c>
      <c r="D44" s="46" t="s">
        <v>245</v>
      </c>
      <c r="E44" s="23" t="s">
        <v>244</v>
      </c>
      <c r="F44" s="23" t="s">
        <v>246</v>
      </c>
      <c r="H44" s="41" t="s">
        <v>247</v>
      </c>
    </row>
    <row r="45" spans="2:10">
      <c r="B45" s="47" t="s">
        <v>64</v>
      </c>
      <c r="C45" s="48" t="s">
        <v>215</v>
      </c>
      <c r="D45" s="9" t="s">
        <v>216</v>
      </c>
      <c r="E45" s="9">
        <v>3</v>
      </c>
      <c r="F45" s="23">
        <v>60</v>
      </c>
      <c r="H45" s="23">
        <f t="array" ref="H45">MAX((LEFT(D45:D59,1)="이")*(RIGHT(C45:C59,1)="A")*(ISNUMBER(E45:E59))*(F45:F59))</f>
        <v>79</v>
      </c>
    </row>
    <row r="46" spans="2:10">
      <c r="B46" s="47" t="s">
        <v>67</v>
      </c>
      <c r="C46" s="48" t="s">
        <v>217</v>
      </c>
      <c r="D46" s="9" t="s">
        <v>218</v>
      </c>
      <c r="E46" s="9">
        <v>4</v>
      </c>
      <c r="F46" s="23">
        <v>70</v>
      </c>
    </row>
    <row r="47" spans="2:10">
      <c r="B47" s="47" t="s">
        <v>71</v>
      </c>
      <c r="C47" s="48" t="s">
        <v>219</v>
      </c>
      <c r="D47" s="9" t="s">
        <v>220</v>
      </c>
      <c r="E47" s="9" t="s">
        <v>221</v>
      </c>
      <c r="F47" s="23">
        <v>90</v>
      </c>
      <c r="H47" s="49" t="s">
        <v>248</v>
      </c>
    </row>
    <row r="48" spans="2:10">
      <c r="B48" s="47" t="s">
        <v>75</v>
      </c>
      <c r="C48" s="48" t="s">
        <v>222</v>
      </c>
      <c r="D48" s="9" t="s">
        <v>121</v>
      </c>
      <c r="E48" s="9">
        <v>1</v>
      </c>
      <c r="F48" s="23">
        <v>79</v>
      </c>
      <c r="H48">
        <f t="array" ref="H48">MAX((LEFT(D45:D59,1)="이")*(RIGHT(C45:C59,1)="A")*(ISNUMBER(E45:E59)=TRUE)*(F45:F59))</f>
        <v>79</v>
      </c>
    </row>
    <row r="49" spans="2:8">
      <c r="B49" s="47" t="s">
        <v>79</v>
      </c>
      <c r="C49" s="48" t="s">
        <v>223</v>
      </c>
      <c r="D49" s="9" t="s">
        <v>224</v>
      </c>
      <c r="E49" s="9">
        <v>2</v>
      </c>
      <c r="F49" s="23">
        <v>68</v>
      </c>
    </row>
    <row r="50" spans="2:8">
      <c r="B50" s="47" t="s">
        <v>83</v>
      </c>
      <c r="C50" s="48" t="s">
        <v>225</v>
      </c>
      <c r="D50" s="9" t="s">
        <v>226</v>
      </c>
      <c r="E50" s="9">
        <v>1</v>
      </c>
      <c r="F50" s="23">
        <v>77</v>
      </c>
      <c r="H50" t="s">
        <v>249</v>
      </c>
    </row>
    <row r="51" spans="2:8">
      <c r="B51" s="47" t="s">
        <v>87</v>
      </c>
      <c r="C51" s="48" t="s">
        <v>227</v>
      </c>
      <c r="D51" s="9" t="s">
        <v>228</v>
      </c>
      <c r="E51" s="9" t="s">
        <v>221</v>
      </c>
      <c r="F51" s="23">
        <v>84</v>
      </c>
      <c r="H51">
        <f t="array" ref="H51">MAX(IF((LEFT(D45:D59,1)="이")*(RIGHT(C45:C59,1)="A")*(ISNUMBER(E45:E59)),(F45:F59)))</f>
        <v>79</v>
      </c>
    </row>
    <row r="52" spans="2:8">
      <c r="B52" s="47" t="s">
        <v>91</v>
      </c>
      <c r="C52" s="48" t="s">
        <v>229</v>
      </c>
      <c r="D52" s="9" t="s">
        <v>142</v>
      </c>
      <c r="E52" s="9">
        <v>2</v>
      </c>
      <c r="F52" s="23">
        <v>92</v>
      </c>
    </row>
    <row r="53" spans="2:8">
      <c r="B53" s="47" t="s">
        <v>95</v>
      </c>
      <c r="C53" s="48" t="s">
        <v>230</v>
      </c>
      <c r="D53" s="9" t="s">
        <v>143</v>
      </c>
      <c r="E53" s="9">
        <v>3</v>
      </c>
      <c r="F53" s="23">
        <v>59</v>
      </c>
    </row>
    <row r="54" spans="2:8">
      <c r="B54" s="47" t="s">
        <v>151</v>
      </c>
      <c r="C54" s="48" t="s">
        <v>231</v>
      </c>
      <c r="D54" s="9" t="s">
        <v>144</v>
      </c>
      <c r="E54" s="9" t="s">
        <v>221</v>
      </c>
      <c r="F54" s="23">
        <v>39</v>
      </c>
    </row>
    <row r="55" spans="2:8">
      <c r="B55" s="47" t="s">
        <v>232</v>
      </c>
      <c r="C55" s="48" t="s">
        <v>233</v>
      </c>
      <c r="D55" s="9" t="s">
        <v>145</v>
      </c>
      <c r="E55" s="9">
        <v>80</v>
      </c>
      <c r="F55" s="23"/>
    </row>
    <row r="56" spans="2:8">
      <c r="B56" s="47" t="s">
        <v>234</v>
      </c>
      <c r="C56" s="48" t="s">
        <v>235</v>
      </c>
      <c r="D56" s="9" t="s">
        <v>236</v>
      </c>
      <c r="E56" s="9">
        <v>90</v>
      </c>
      <c r="F56" s="23"/>
    </row>
    <row r="57" spans="2:8">
      <c r="B57" s="47" t="s">
        <v>237</v>
      </c>
      <c r="C57" s="48" t="s">
        <v>238</v>
      </c>
      <c r="D57" s="9" t="s">
        <v>239</v>
      </c>
      <c r="E57" s="9">
        <v>75</v>
      </c>
      <c r="F57" s="23"/>
    </row>
    <row r="58" spans="2:8">
      <c r="B58" s="47" t="s">
        <v>240</v>
      </c>
      <c r="C58" s="48" t="s">
        <v>241</v>
      </c>
      <c r="D58" s="9" t="s">
        <v>148</v>
      </c>
      <c r="E58" s="9" t="s">
        <v>221</v>
      </c>
      <c r="F58" s="23">
        <v>90</v>
      </c>
    </row>
    <row r="59" spans="2:8">
      <c r="B59" s="47" t="s">
        <v>242</v>
      </c>
      <c r="C59" s="48" t="s">
        <v>243</v>
      </c>
      <c r="D59" s="9" t="s">
        <v>150</v>
      </c>
      <c r="E59" s="9">
        <v>5</v>
      </c>
      <c r="F59" s="23">
        <v>60</v>
      </c>
    </row>
    <row r="66" spans="2:10">
      <c r="B66" t="s">
        <v>100</v>
      </c>
      <c r="G66" t="s">
        <v>265</v>
      </c>
    </row>
    <row r="67" spans="2:10">
      <c r="B67" s="23" t="s">
        <v>60</v>
      </c>
      <c r="C67" s="23" t="s">
        <v>250</v>
      </c>
      <c r="D67" s="23" t="s">
        <v>251</v>
      </c>
      <c r="G67" s="23"/>
      <c r="H67" s="23" t="s">
        <v>252</v>
      </c>
      <c r="I67" s="23" t="s">
        <v>253</v>
      </c>
      <c r="J67" s="23" t="s">
        <v>254</v>
      </c>
    </row>
    <row r="68" spans="2:10">
      <c r="B68" s="23">
        <v>1</v>
      </c>
      <c r="C68" s="9" t="s">
        <v>40</v>
      </c>
      <c r="D68" s="23" t="s">
        <v>255</v>
      </c>
      <c r="G68" s="23" t="s">
        <v>256</v>
      </c>
      <c r="H68" s="41" t="str">
        <f t="array" ref="H68">IFERROR(COUNT((FIND($G68,$D$68:$D$77))*(FIND(H$67,$D$68:$D$77))*1),"")&amp;"명"</f>
        <v>1명</v>
      </c>
      <c r="I68" s="41" t="str">
        <f t="array" ref="I68">IFERROR(COUNT((FIND($G68,$D$68:$D$77))*(FIND(I$67,$D$68:$D$77))*1),"")&amp;"명"</f>
        <v>0명</v>
      </c>
      <c r="J68" s="41" t="str">
        <f t="array" ref="J68">IFERROR(COUNT((FIND($G68,$D$68:$D$77))*(FIND(J$67,$D$68:$D$77))*1),"")&amp;"명"</f>
        <v>1명</v>
      </c>
    </row>
    <row r="69" spans="2:10">
      <c r="B69" s="23">
        <v>2</v>
      </c>
      <c r="C69" s="9" t="s">
        <v>42</v>
      </c>
      <c r="D69" s="23" t="s">
        <v>257</v>
      </c>
      <c r="G69" s="23" t="s">
        <v>258</v>
      </c>
      <c r="H69" s="41" t="str">
        <f t="array" ref="H69">IFERROR(COUNT((FIND($G69,$D$68:$D$77))*(FIND(H$67,$D$68:$D$77))*1),"")&amp;"명"</f>
        <v>0명</v>
      </c>
      <c r="I69" s="41" t="str">
        <f t="array" ref="I69">IFERROR(COUNT((FIND($G69,$D$68:$D$77))*(FIND(I$67,$D$68:$D$77))*1),"")&amp;"명"</f>
        <v>2명</v>
      </c>
      <c r="J69" s="41" t="str">
        <f t="array" ref="J69">IFERROR(COUNT((FIND($G69,$D$68:$D$77))*(FIND(J$67,$D$68:$D$77))*1),"")&amp;"명"</f>
        <v>2명</v>
      </c>
    </row>
    <row r="70" spans="2:10">
      <c r="B70" s="23">
        <v>3</v>
      </c>
      <c r="C70" s="9" t="s">
        <v>44</v>
      </c>
      <c r="D70" s="23" t="s">
        <v>259</v>
      </c>
      <c r="G70" s="23" t="s">
        <v>260</v>
      </c>
      <c r="H70" s="41" t="str">
        <f t="array" ref="H70">IFERROR(COUNT((FIND($G70,$D$68:$D$77))*(FIND(H$67,$D$68:$D$77))*1),"")&amp;"명"</f>
        <v>2명</v>
      </c>
      <c r="I70" s="41" t="str">
        <f t="array" ref="I70">IFERROR(COUNT((FIND($G70,$D$68:$D$77))*(FIND(I$67,$D$68:$D$77))*1),"")&amp;"명"</f>
        <v>1명</v>
      </c>
      <c r="J70" s="41" t="str">
        <f t="array" ref="J70">IFERROR(COUNT((FIND($G70,$D$68:$D$77))*(FIND(J$67,$D$68:$D$77))*1),"")&amp;"명"</f>
        <v>1명</v>
      </c>
    </row>
    <row r="71" spans="2:10">
      <c r="B71" s="23">
        <v>4</v>
      </c>
      <c r="C71" s="9" t="s">
        <v>46</v>
      </c>
      <c r="D71" s="23" t="s">
        <v>261</v>
      </c>
    </row>
    <row r="72" spans="2:10">
      <c r="B72" s="23">
        <v>5</v>
      </c>
      <c r="C72" s="9" t="s">
        <v>48</v>
      </c>
      <c r="D72" s="23" t="s">
        <v>262</v>
      </c>
      <c r="G72" s="43" t="s">
        <v>266</v>
      </c>
    </row>
    <row r="73" spans="2:10">
      <c r="B73" s="23">
        <v>6</v>
      </c>
      <c r="C73" s="9" t="s">
        <v>50</v>
      </c>
      <c r="D73" s="23" t="s">
        <v>261</v>
      </c>
      <c r="G73" s="23"/>
      <c r="H73" s="23" t="s">
        <v>252</v>
      </c>
      <c r="I73" s="23" t="s">
        <v>253</v>
      </c>
      <c r="J73" s="23" t="s">
        <v>254</v>
      </c>
    </row>
    <row r="74" spans="2:10">
      <c r="B74" s="23">
        <v>7</v>
      </c>
      <c r="C74" s="9" t="s">
        <v>52</v>
      </c>
      <c r="D74" s="23" t="s">
        <v>263</v>
      </c>
      <c r="G74" s="23" t="s">
        <v>256</v>
      </c>
      <c r="H74" s="41" t="str">
        <f t="array" ref="H74">IFERROR(COUNT((FIND($G74,$D$68:$D$77)&gt;=1)*(FIND(H$73,$D$68:$D$77)&gt;=1)*$B$68:$B$77),"")&amp;"명"</f>
        <v>1명</v>
      </c>
      <c r="I74" s="41" t="str">
        <f t="array" ref="I74">IFERROR(COUNT((FIND($G74,$D$68:$D$77)&gt;=1)*(FIND(I$73,$D$68:$D$77)&gt;=1)*1),"")&amp;"명"</f>
        <v>0명</v>
      </c>
      <c r="J74" s="41" t="str">
        <f t="array" ref="J74">IFERROR(COUNT((FIND($G74,$D$68:$D$77)&gt;=1)*(FIND(J$73,$D$68:$D$77)&gt;=1)*1),"")&amp;"명"</f>
        <v>1명</v>
      </c>
    </row>
    <row r="75" spans="2:10">
      <c r="B75" s="23">
        <v>8</v>
      </c>
      <c r="C75" s="9" t="s">
        <v>54</v>
      </c>
      <c r="D75" s="23" t="s">
        <v>264</v>
      </c>
      <c r="G75" s="23" t="s">
        <v>258</v>
      </c>
      <c r="H75" s="41" t="str">
        <f t="array" ref="H75">IFERROR(COUNT((FIND($G75,$D$68:$D$77)&gt;=1)*(FIND(H$73,$D$68:$D$77)&gt;=1)*1),"")&amp;"명"</f>
        <v>0명</v>
      </c>
      <c r="I75" s="41" t="str">
        <f t="array" ref="I75">IFERROR(COUNT((FIND($G75,$D$68:$D$77)&gt;=1)*(FIND(I$73,$D$68:$D$77)&gt;=1)*1),"")&amp;"명"</f>
        <v>2명</v>
      </c>
      <c r="J75" s="41" t="str">
        <f t="array" ref="J75">IFERROR(COUNT((FIND($G75,$D$68:$D$77)&gt;=1)*(FIND(J$73,$D$68:$D$77)&gt;=1)*1),"")&amp;"명"</f>
        <v>2명</v>
      </c>
    </row>
    <row r="76" spans="2:10">
      <c r="B76" s="23">
        <v>9</v>
      </c>
      <c r="C76" s="9" t="s">
        <v>56</v>
      </c>
      <c r="D76" s="23" t="s">
        <v>263</v>
      </c>
      <c r="G76" s="23" t="s">
        <v>260</v>
      </c>
      <c r="H76" s="41" t="str">
        <f t="array" ref="H76">IFERROR(COUNT((FIND($G76,$D$68:$D$77)&gt;=1)*(FIND(H$73,$D$68:$D$77)&gt;=1)*1),"")&amp;"명"</f>
        <v>2명</v>
      </c>
      <c r="I76" s="41" t="str">
        <f t="array" ref="I76">IFERROR(COUNT((FIND($G76,$D$68:$D$77)&gt;=1)*(FIND(I$73,$D$68:$D$77)&gt;=1)*1),"")&amp;"명"</f>
        <v>1명</v>
      </c>
      <c r="J76" s="41" t="str">
        <f t="array" ref="J76">IFERROR(COUNT((FIND($G76,$D$68:$D$77)&gt;=1)*(FIND(J$73,$D$68:$D$77)&gt;=1)*1),"")&amp;"명"</f>
        <v>1명</v>
      </c>
    </row>
    <row r="77" spans="2:10">
      <c r="B77" s="23">
        <v>10</v>
      </c>
      <c r="C77" s="9" t="s">
        <v>58</v>
      </c>
      <c r="D77" s="23" t="s">
        <v>264</v>
      </c>
    </row>
    <row r="78" spans="2:10">
      <c r="G78" s="42" t="s">
        <v>267</v>
      </c>
    </row>
    <row r="79" spans="2:10">
      <c r="G79" s="23"/>
      <c r="H79" s="23" t="s">
        <v>252</v>
      </c>
      <c r="I79" s="23" t="s">
        <v>253</v>
      </c>
      <c r="J79" s="23" t="s">
        <v>254</v>
      </c>
    </row>
    <row r="80" spans="2:10">
      <c r="G80" s="23" t="s">
        <v>256</v>
      </c>
      <c r="H80" s="41" t="str">
        <f t="array" ref="H80">IFERROR(COUNT(IF((FIND($G80,$D$68:$D$77))*(FIND(H$79,$D$68:$D$77)),1)),"")&amp;"명"</f>
        <v>1명</v>
      </c>
      <c r="I80" s="41" t="str">
        <f t="array" ref="I80">IFERROR(COUNT(IF((FIND($G80,$D$68:$D$77))*(FIND(I$79,$D$68:$D$77)),1)),"")&amp;"명"</f>
        <v>0명</v>
      </c>
      <c r="J80" s="41" t="str">
        <f t="array" ref="J80">IFERROR(COUNT(IF((FIND($G80,$D$68:$D$77))*(FIND(J$79,$D$68:$D$77)),1)),"")&amp;"명"</f>
        <v>1명</v>
      </c>
    </row>
    <row r="81" spans="2:10">
      <c r="G81" s="23" t="s">
        <v>258</v>
      </c>
      <c r="H81" s="41" t="str">
        <f t="array" ref="H81">IFERROR(COUNT(IF((FIND($G81,$D$68:$D$77))*(FIND(H$79,$D$68:$D$77)),1)),"")&amp;"명"</f>
        <v>0명</v>
      </c>
      <c r="I81" s="41" t="str">
        <f t="array" ref="I81">IFERROR(COUNT(IF((FIND($G81,$D$68:$D$77))*(FIND(I$79,$D$68:$D$77)),1)),"")&amp;"명"</f>
        <v>2명</v>
      </c>
      <c r="J81" s="41" t="str">
        <f t="array" ref="J81">IFERROR(COUNT(IF((FIND($G81,$D$68:$D$77))*(FIND(J$79,$D$68:$D$77)),1)),"")&amp;"명"</f>
        <v>2명</v>
      </c>
    </row>
    <row r="82" spans="2:10">
      <c r="G82" s="23" t="s">
        <v>260</v>
      </c>
      <c r="H82" s="41" t="str">
        <f t="array" ref="H82">IFERROR(COUNT(IF((FIND($G82,$D$68:$D$77))*(FIND(H$79,$D$68:$D$77)),1)),"")&amp;"명"</f>
        <v>2명</v>
      </c>
      <c r="I82" s="41" t="str">
        <f t="array" ref="I82">IFERROR(COUNT(IF((FIND($G82,$D$68:$D$77))*(FIND(I$79,$D$68:$D$77)),1)),"")&amp;"명"</f>
        <v>1명</v>
      </c>
      <c r="J82" s="41" t="str">
        <f t="array" ref="J82">IFERROR(COUNT(IF((FIND($G82,$D$68:$D$77))*(FIND(J$79,$D$68:$D$77)),1)),"")&amp;"명"</f>
        <v>1명</v>
      </c>
    </row>
    <row r="85" spans="2:10">
      <c r="E85" s="56" t="s">
        <v>387</v>
      </c>
      <c r="F85" s="87">
        <v>43013</v>
      </c>
    </row>
    <row r="86" spans="2:10">
      <c r="B86" t="s">
        <v>388</v>
      </c>
    </row>
    <row r="87" spans="2:10">
      <c r="B87" s="88" t="s">
        <v>60</v>
      </c>
      <c r="C87" s="88" t="s">
        <v>35</v>
      </c>
      <c r="D87" s="88" t="s">
        <v>389</v>
      </c>
      <c r="E87" s="88" t="s">
        <v>390</v>
      </c>
      <c r="F87" s="89" t="s">
        <v>391</v>
      </c>
      <c r="G87" s="92"/>
      <c r="H87" s="93"/>
    </row>
    <row r="88" spans="2:10">
      <c r="B88" s="51" t="s">
        <v>64</v>
      </c>
      <c r="C88" s="51" t="s">
        <v>175</v>
      </c>
      <c r="D88" s="52">
        <v>43027</v>
      </c>
      <c r="E88" s="47" t="s">
        <v>275</v>
      </c>
      <c r="F88" s="90">
        <f>fn할인율(D88,$F$85)</f>
        <v>0</v>
      </c>
    </row>
    <row r="89" spans="2:10">
      <c r="B89" s="51" t="s">
        <v>67</v>
      </c>
      <c r="C89" s="51" t="s">
        <v>176</v>
      </c>
      <c r="D89" s="52">
        <v>43028</v>
      </c>
      <c r="E89" s="47"/>
      <c r="F89" s="90">
        <f t="shared" ref="F89:F102" si="1">fn할인율(D89,$F$85)</f>
        <v>0.01</v>
      </c>
    </row>
    <row r="90" spans="2:10">
      <c r="B90" s="51" t="s">
        <v>71</v>
      </c>
      <c r="C90" s="51" t="s">
        <v>177</v>
      </c>
      <c r="D90" s="52">
        <v>43029</v>
      </c>
      <c r="E90" s="47" t="s">
        <v>275</v>
      </c>
      <c r="F90" s="90">
        <f t="shared" si="1"/>
        <v>0.01</v>
      </c>
    </row>
    <row r="91" spans="2:10">
      <c r="B91" s="51" t="s">
        <v>75</v>
      </c>
      <c r="C91" s="51" t="s">
        <v>179</v>
      </c>
      <c r="D91" s="53" t="s">
        <v>393</v>
      </c>
      <c r="E91" s="47" t="s">
        <v>275</v>
      </c>
      <c r="F91" s="90" t="str">
        <f t="shared" si="1"/>
        <v>결제일 요청</v>
      </c>
    </row>
    <row r="92" spans="2:10">
      <c r="B92" s="51" t="s">
        <v>79</v>
      </c>
      <c r="C92" s="51" t="s">
        <v>276</v>
      </c>
      <c r="D92" s="52">
        <v>43042</v>
      </c>
      <c r="E92" s="47" t="s">
        <v>275</v>
      </c>
      <c r="F92" s="90">
        <f t="shared" si="1"/>
        <v>0.01</v>
      </c>
    </row>
    <row r="93" spans="2:10">
      <c r="B93" s="51" t="s">
        <v>83</v>
      </c>
      <c r="C93" s="51" t="s">
        <v>277</v>
      </c>
      <c r="D93" s="52">
        <v>43043</v>
      </c>
      <c r="E93" s="47" t="s">
        <v>275</v>
      </c>
      <c r="F93" s="90">
        <f t="shared" si="1"/>
        <v>0.03</v>
      </c>
    </row>
    <row r="94" spans="2:10">
      <c r="B94" s="51" t="s">
        <v>87</v>
      </c>
      <c r="C94" s="51" t="s">
        <v>186</v>
      </c>
      <c r="D94" s="52">
        <v>43044</v>
      </c>
      <c r="E94" s="47" t="s">
        <v>275</v>
      </c>
      <c r="F94" s="90">
        <f t="shared" si="1"/>
        <v>0.03</v>
      </c>
    </row>
    <row r="95" spans="2:10">
      <c r="B95" s="51" t="s">
        <v>91</v>
      </c>
      <c r="C95" s="51" t="s">
        <v>278</v>
      </c>
      <c r="D95" s="52">
        <v>43072</v>
      </c>
      <c r="E95" s="47"/>
      <c r="F95" s="90">
        <f t="shared" si="1"/>
        <v>0.03</v>
      </c>
    </row>
    <row r="96" spans="2:10">
      <c r="B96" s="51" t="s">
        <v>95</v>
      </c>
      <c r="C96" s="51" t="s">
        <v>279</v>
      </c>
      <c r="D96" s="52">
        <v>43073</v>
      </c>
      <c r="E96" s="47" t="s">
        <v>275</v>
      </c>
      <c r="F96" s="90">
        <f t="shared" si="1"/>
        <v>0.05</v>
      </c>
    </row>
    <row r="97" spans="2:6">
      <c r="B97" s="51" t="s">
        <v>151</v>
      </c>
      <c r="C97" s="51" t="s">
        <v>189</v>
      </c>
      <c r="D97" s="52">
        <v>43074</v>
      </c>
      <c r="E97" s="47" t="s">
        <v>275</v>
      </c>
      <c r="F97" s="90">
        <f t="shared" si="1"/>
        <v>0.05</v>
      </c>
    </row>
    <row r="98" spans="2:6">
      <c r="B98" s="51" t="s">
        <v>232</v>
      </c>
      <c r="C98" s="51" t="s">
        <v>280</v>
      </c>
      <c r="D98" s="52">
        <v>43075</v>
      </c>
      <c r="E98" s="47" t="s">
        <v>275</v>
      </c>
      <c r="F98" s="90">
        <f t="shared" si="1"/>
        <v>0.05</v>
      </c>
    </row>
    <row r="99" spans="2:6">
      <c r="B99" s="51" t="s">
        <v>234</v>
      </c>
      <c r="C99" s="51" t="s">
        <v>281</v>
      </c>
      <c r="D99" s="52">
        <v>43014</v>
      </c>
      <c r="E99" s="47" t="s">
        <v>275</v>
      </c>
      <c r="F99" s="90">
        <f t="shared" si="1"/>
        <v>0</v>
      </c>
    </row>
    <row r="100" spans="2:6">
      <c r="B100" s="51" t="s">
        <v>237</v>
      </c>
      <c r="C100" s="51" t="s">
        <v>282</v>
      </c>
      <c r="D100" s="52">
        <v>43015</v>
      </c>
      <c r="E100" s="47" t="s">
        <v>275</v>
      </c>
      <c r="F100" s="90">
        <f t="shared" si="1"/>
        <v>0</v>
      </c>
    </row>
    <row r="101" spans="2:6">
      <c r="B101" s="51" t="s">
        <v>240</v>
      </c>
      <c r="C101" s="51" t="s">
        <v>283</v>
      </c>
      <c r="D101" s="52" t="s">
        <v>392</v>
      </c>
      <c r="E101" s="47"/>
      <c r="F101" s="90" t="str">
        <f t="shared" si="1"/>
        <v>결제일 요청</v>
      </c>
    </row>
    <row r="102" spans="2:6">
      <c r="B102" s="51" t="s">
        <v>242</v>
      </c>
      <c r="C102" s="51" t="s">
        <v>284</v>
      </c>
      <c r="D102" s="52">
        <v>43070</v>
      </c>
      <c r="E102" s="47" t="s">
        <v>275</v>
      </c>
      <c r="F102" s="90">
        <f t="shared" si="1"/>
        <v>0.03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E43"/>
  <sheetViews>
    <sheetView topLeftCell="A25" workbookViewId="0">
      <selection activeCell="F55" sqref="F55"/>
    </sheetView>
  </sheetViews>
  <sheetFormatPr defaultRowHeight="16.5"/>
  <cols>
    <col min="2" max="2" width="17.875" style="1" bestFit="1" customWidth="1"/>
    <col min="3" max="3" width="10.375" customWidth="1"/>
    <col min="4" max="4" width="11.125" bestFit="1" customWidth="1"/>
    <col min="5" max="5" width="15.25" bestFit="1" customWidth="1"/>
    <col min="6" max="6" width="13.25" customWidth="1"/>
  </cols>
  <sheetData>
    <row r="4" spans="2:5">
      <c r="B4" s="2" t="s">
        <v>3</v>
      </c>
      <c r="C4" t="s">
        <v>1</v>
      </c>
      <c r="D4" t="s">
        <v>2</v>
      </c>
      <c r="E4" t="s">
        <v>8</v>
      </c>
    </row>
    <row r="5" spans="2:5">
      <c r="B5" t="s">
        <v>4</v>
      </c>
      <c r="C5" s="5">
        <v>1</v>
      </c>
      <c r="D5" s="4">
        <v>15000</v>
      </c>
      <c r="E5" s="3">
        <v>7.5</v>
      </c>
    </row>
    <row r="6" spans="2:5">
      <c r="B6" t="s">
        <v>5</v>
      </c>
      <c r="C6" s="5">
        <v>2</v>
      </c>
      <c r="D6" s="4">
        <v>10000</v>
      </c>
      <c r="E6" s="3">
        <v>5</v>
      </c>
    </row>
    <row r="7" spans="2:5">
      <c r="B7" t="s">
        <v>6</v>
      </c>
      <c r="C7" s="5">
        <v>2.8</v>
      </c>
      <c r="D7" s="4">
        <v>4000</v>
      </c>
      <c r="E7" s="3">
        <v>2</v>
      </c>
    </row>
    <row r="8" spans="2:5">
      <c r="B8" t="s">
        <v>7</v>
      </c>
      <c r="C8" s="5">
        <v>0</v>
      </c>
      <c r="D8" s="4">
        <v>0</v>
      </c>
      <c r="E8" s="3">
        <v>0</v>
      </c>
    </row>
    <row r="9" spans="2:5">
      <c r="B9" t="s">
        <v>0</v>
      </c>
      <c r="C9" s="5">
        <v>1.45</v>
      </c>
      <c r="D9" s="4">
        <v>7250</v>
      </c>
      <c r="E9" s="3">
        <v>14.5</v>
      </c>
    </row>
    <row r="10" spans="2:5">
      <c r="B10"/>
    </row>
    <row r="11" spans="2:5">
      <c r="B11"/>
    </row>
    <row r="12" spans="2:5">
      <c r="B12"/>
    </row>
    <row r="13" spans="2:5">
      <c r="B13"/>
    </row>
    <row r="14" spans="2:5">
      <c r="B14"/>
    </row>
    <row r="15" spans="2:5">
      <c r="B15"/>
    </row>
    <row r="16" spans="2:5">
      <c r="B16"/>
    </row>
    <row r="17" spans="2:3">
      <c r="B17"/>
    </row>
    <row r="18" spans="2:3">
      <c r="B18"/>
    </row>
    <row r="19" spans="2:3">
      <c r="B19"/>
    </row>
    <row r="20" spans="2:3">
      <c r="B20"/>
    </row>
    <row r="21" spans="2:3">
      <c r="B21"/>
    </row>
    <row r="22" spans="2:3">
      <c r="B22"/>
    </row>
    <row r="23" spans="2:3">
      <c r="B23"/>
    </row>
    <row r="24" spans="2:3">
      <c r="B24"/>
    </row>
    <row r="25" spans="2:3">
      <c r="B25"/>
    </row>
    <row r="26" spans="2:3">
      <c r="B26" s="2" t="s">
        <v>22</v>
      </c>
      <c r="C26" t="s">
        <v>21</v>
      </c>
    </row>
    <row r="27" spans="2:3">
      <c r="B27" t="s">
        <v>9</v>
      </c>
      <c r="C27" s="6">
        <v>224</v>
      </c>
    </row>
    <row r="28" spans="2:3">
      <c r="B28" t="s">
        <v>10</v>
      </c>
      <c r="C28" s="6">
        <v>225</v>
      </c>
    </row>
    <row r="29" spans="2:3">
      <c r="B29" t="s">
        <v>11</v>
      </c>
      <c r="C29" s="6">
        <v>223</v>
      </c>
    </row>
    <row r="30" spans="2:3">
      <c r="B30" t="s">
        <v>12</v>
      </c>
      <c r="C30" s="6">
        <v>240</v>
      </c>
    </row>
    <row r="31" spans="2:3">
      <c r="B31" t="s">
        <v>13</v>
      </c>
      <c r="C31" s="6">
        <v>255</v>
      </c>
    </row>
    <row r="32" spans="2:3">
      <c r="B32" t="s">
        <v>14</v>
      </c>
      <c r="C32" s="6">
        <v>234</v>
      </c>
    </row>
    <row r="33" spans="2:3">
      <c r="B33" t="s">
        <v>15</v>
      </c>
      <c r="C33" s="6">
        <v>200</v>
      </c>
    </row>
    <row r="34" spans="2:3">
      <c r="B34" t="s">
        <v>16</v>
      </c>
      <c r="C34" s="6">
        <v>300</v>
      </c>
    </row>
    <row r="35" spans="2:3">
      <c r="B35" t="s">
        <v>17</v>
      </c>
      <c r="C35" s="6">
        <v>200</v>
      </c>
    </row>
    <row r="36" spans="2:3">
      <c r="B36" t="s">
        <v>18</v>
      </c>
      <c r="C36" s="6">
        <v>159</v>
      </c>
    </row>
    <row r="37" spans="2:3">
      <c r="B37" t="s">
        <v>19</v>
      </c>
      <c r="C37" s="6">
        <v>321</v>
      </c>
    </row>
    <row r="38" spans="2:3">
      <c r="B38" t="s">
        <v>20</v>
      </c>
      <c r="C38" s="6">
        <v>254</v>
      </c>
    </row>
    <row r="39" spans="2:3">
      <c r="B39" t="s">
        <v>0</v>
      </c>
      <c r="C39" s="6">
        <v>236.25</v>
      </c>
    </row>
    <row r="40" spans="2:3">
      <c r="B40"/>
    </row>
    <row r="41" spans="2:3">
      <c r="B41"/>
    </row>
    <row r="42" spans="2:3">
      <c r="B42"/>
    </row>
    <row r="43" spans="2:3">
      <c r="B43"/>
    </row>
  </sheetData>
  <phoneticPr fontId="1" type="noConversion"/>
  <pageMargins left="0.7" right="0.7" top="0.75" bottom="0.75" header="0.3" footer="0.3"/>
  <pageSetup paperSize="9" orientation="portrait" horizontalDpi="0" verticalDpi="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8"/>
  <sheetViews>
    <sheetView topLeftCell="A21" workbookViewId="0">
      <selection activeCell="J36" sqref="J36"/>
    </sheetView>
  </sheetViews>
  <sheetFormatPr defaultRowHeight="16.5"/>
  <cols>
    <col min="1" max="1" width="5.5" style="7" customWidth="1"/>
    <col min="2" max="2" width="10" style="7" customWidth="1"/>
    <col min="3" max="3" width="14.25" style="7" customWidth="1"/>
    <col min="4" max="4" width="9" style="7"/>
    <col min="5" max="5" width="14.5" style="7" customWidth="1"/>
    <col min="6" max="6" width="19" bestFit="1" customWidth="1"/>
    <col min="7" max="7" width="6.5" bestFit="1" customWidth="1"/>
    <col min="8" max="8" width="7.125" bestFit="1" customWidth="1"/>
    <col min="9" max="12" width="7.875" bestFit="1" customWidth="1"/>
    <col min="13" max="14" width="7" customWidth="1"/>
    <col min="15" max="15" width="7.875" customWidth="1"/>
    <col min="17" max="17" width="7.25" customWidth="1"/>
    <col min="18" max="18" width="6.375" customWidth="1"/>
    <col min="19" max="19" width="6" customWidth="1"/>
    <col min="20" max="20" width="6.625" customWidth="1"/>
  </cols>
  <sheetData>
    <row r="1" spans="2:20">
      <c r="B1" s="81" t="s">
        <v>417</v>
      </c>
      <c r="C1" s="81"/>
      <c r="D1" s="81"/>
      <c r="E1" s="81"/>
      <c r="F1" s="81"/>
      <c r="G1" s="81"/>
      <c r="H1" s="81"/>
      <c r="I1" s="81"/>
      <c r="J1" s="81"/>
      <c r="K1" s="81"/>
      <c r="L1" s="113"/>
      <c r="M1" s="114"/>
    </row>
    <row r="2" spans="2:20">
      <c r="B2" s="81"/>
      <c r="C2" s="81"/>
      <c r="D2" s="81"/>
      <c r="E2" s="81"/>
      <c r="F2" s="113"/>
      <c r="G2" s="113"/>
      <c r="H2" s="113"/>
      <c r="I2" s="113"/>
      <c r="J2" s="113"/>
      <c r="K2" s="113"/>
      <c r="L2" s="113"/>
      <c r="M2" s="114"/>
      <c r="N2" s="107"/>
      <c r="O2" s="107"/>
      <c r="P2" s="107"/>
      <c r="Q2" s="107"/>
      <c r="R2" s="107"/>
      <c r="S2" s="107"/>
      <c r="T2" s="108"/>
    </row>
    <row r="3" spans="2:20">
      <c r="B3" s="115" t="s">
        <v>418</v>
      </c>
      <c r="C3" s="115"/>
      <c r="D3" s="116">
        <v>20</v>
      </c>
      <c r="E3" s="81"/>
      <c r="F3" s="113" t="s">
        <v>419</v>
      </c>
      <c r="G3" s="113"/>
      <c r="H3" s="113"/>
      <c r="I3" s="113"/>
      <c r="J3" s="113"/>
      <c r="K3" s="113"/>
      <c r="L3" s="113"/>
      <c r="M3" s="114"/>
    </row>
    <row r="4" spans="2:20">
      <c r="B4" s="115" t="s">
        <v>420</v>
      </c>
      <c r="C4" s="115"/>
      <c r="D4" s="117">
        <v>70</v>
      </c>
      <c r="E4" s="81"/>
      <c r="F4" s="118"/>
      <c r="G4" s="119"/>
      <c r="H4" s="130" t="s">
        <v>421</v>
      </c>
      <c r="I4" s="130"/>
      <c r="J4" s="130"/>
      <c r="K4" s="130"/>
      <c r="L4" s="130"/>
      <c r="M4" s="114"/>
    </row>
    <row r="5" spans="2:20">
      <c r="B5" s="115" t="s">
        <v>422</v>
      </c>
      <c r="C5" s="115"/>
      <c r="D5" s="120">
        <f>D3*D4</f>
        <v>1400</v>
      </c>
      <c r="E5" s="81"/>
      <c r="F5" s="121"/>
      <c r="G5" s="122">
        <f>D12</f>
        <v>440</v>
      </c>
      <c r="H5" s="123">
        <v>10</v>
      </c>
      <c r="I5" s="123">
        <v>20</v>
      </c>
      <c r="J5" s="123">
        <v>30</v>
      </c>
      <c r="K5" s="123">
        <v>40</v>
      </c>
      <c r="L5" s="123">
        <v>50</v>
      </c>
      <c r="M5" s="114"/>
    </row>
    <row r="6" spans="2:20">
      <c r="B6" s="115"/>
      <c r="C6" s="115"/>
      <c r="D6" s="117"/>
      <c r="E6" s="81"/>
      <c r="F6" s="131" t="s">
        <v>423</v>
      </c>
      <c r="G6" s="124">
        <v>50</v>
      </c>
      <c r="H6" s="124">
        <f t="dataTable" ref="H6:L15" dt2D="1" dtr="1" r1="D3" r2="D4"/>
        <v>-460</v>
      </c>
      <c r="I6" s="124">
        <v>40</v>
      </c>
      <c r="J6" s="124">
        <v>540</v>
      </c>
      <c r="K6" s="124">
        <v>1040</v>
      </c>
      <c r="L6" s="124">
        <v>1540</v>
      </c>
      <c r="M6" s="114"/>
    </row>
    <row r="7" spans="2:20">
      <c r="B7" s="115" t="s">
        <v>424</v>
      </c>
      <c r="C7" s="115"/>
      <c r="D7" s="117">
        <v>900</v>
      </c>
      <c r="E7" s="81"/>
      <c r="F7" s="132"/>
      <c r="G7" s="124">
        <v>60</v>
      </c>
      <c r="H7" s="124">
        <v>-360</v>
      </c>
      <c r="I7" s="124">
        <v>240</v>
      </c>
      <c r="J7" s="124">
        <v>840</v>
      </c>
      <c r="K7" s="124">
        <v>1440</v>
      </c>
      <c r="L7" s="124">
        <v>2040</v>
      </c>
      <c r="M7" s="114"/>
    </row>
    <row r="8" spans="2:20">
      <c r="B8" s="115" t="s">
        <v>425</v>
      </c>
      <c r="C8" s="115"/>
      <c r="D8" s="117">
        <f>D5-D7</f>
        <v>500</v>
      </c>
      <c r="E8" s="81"/>
      <c r="F8" s="132"/>
      <c r="G8" s="124">
        <v>70</v>
      </c>
      <c r="H8" s="124">
        <v>-260</v>
      </c>
      <c r="I8" s="124">
        <v>440</v>
      </c>
      <c r="J8" s="124">
        <v>1140</v>
      </c>
      <c r="K8" s="124">
        <v>1840</v>
      </c>
      <c r="L8" s="124">
        <v>2540</v>
      </c>
      <c r="M8" s="114"/>
    </row>
    <row r="9" spans="2:20">
      <c r="B9" s="115"/>
      <c r="C9" s="115"/>
      <c r="D9" s="117"/>
      <c r="E9" s="81"/>
      <c r="F9" s="132"/>
      <c r="G9" s="124">
        <v>80</v>
      </c>
      <c r="H9" s="124">
        <v>-160</v>
      </c>
      <c r="I9" s="124">
        <v>640</v>
      </c>
      <c r="J9" s="124">
        <v>1440</v>
      </c>
      <c r="K9" s="124">
        <v>2240</v>
      </c>
      <c r="L9" s="124">
        <v>3040</v>
      </c>
      <c r="M9" s="114"/>
    </row>
    <row r="10" spans="2:20">
      <c r="B10" s="115" t="s">
        <v>426</v>
      </c>
      <c r="C10" s="115"/>
      <c r="D10" s="117">
        <v>50</v>
      </c>
      <c r="E10" s="81"/>
      <c r="F10" s="132"/>
      <c r="G10" s="124">
        <v>90</v>
      </c>
      <c r="H10" s="124">
        <v>-60</v>
      </c>
      <c r="I10" s="124">
        <v>840</v>
      </c>
      <c r="J10" s="124">
        <v>1740</v>
      </c>
      <c r="K10" s="124">
        <v>2640</v>
      </c>
      <c r="L10" s="124">
        <v>3540</v>
      </c>
      <c r="M10" s="114"/>
    </row>
    <row r="11" spans="2:20">
      <c r="B11" s="115" t="s">
        <v>427</v>
      </c>
      <c r="C11" s="115"/>
      <c r="D11" s="117">
        <v>10</v>
      </c>
      <c r="E11" s="81"/>
      <c r="F11" s="132"/>
      <c r="G11" s="124">
        <v>100</v>
      </c>
      <c r="H11" s="124">
        <v>40</v>
      </c>
      <c r="I11" s="124">
        <v>1040</v>
      </c>
      <c r="J11" s="124">
        <v>2040</v>
      </c>
      <c r="K11" s="124">
        <v>3040</v>
      </c>
      <c r="L11" s="124">
        <v>4040</v>
      </c>
      <c r="M11" s="114"/>
    </row>
    <row r="12" spans="2:20">
      <c r="B12" s="115" t="s">
        <v>428</v>
      </c>
      <c r="C12" s="115"/>
      <c r="D12" s="117">
        <f>$D$8-$D$10-$D$11</f>
        <v>440</v>
      </c>
      <c r="E12" s="81"/>
      <c r="F12" s="132"/>
      <c r="G12" s="124">
        <v>110</v>
      </c>
      <c r="H12" s="124">
        <v>140</v>
      </c>
      <c r="I12" s="124">
        <v>1240</v>
      </c>
      <c r="J12" s="124">
        <v>2340</v>
      </c>
      <c r="K12" s="124">
        <v>3440</v>
      </c>
      <c r="L12" s="124">
        <v>4540</v>
      </c>
      <c r="M12" s="114"/>
    </row>
    <row r="13" spans="2:20">
      <c r="B13" s="113"/>
      <c r="C13" s="113"/>
      <c r="D13" s="113"/>
      <c r="E13" s="113"/>
      <c r="F13" s="132"/>
      <c r="G13" s="124">
        <v>120</v>
      </c>
      <c r="H13" s="124">
        <v>240</v>
      </c>
      <c r="I13" s="124">
        <v>1440</v>
      </c>
      <c r="J13" s="124">
        <v>2640</v>
      </c>
      <c r="K13" s="124">
        <v>3840</v>
      </c>
      <c r="L13" s="124">
        <v>5040</v>
      </c>
      <c r="M13" s="114"/>
    </row>
    <row r="14" spans="2:20">
      <c r="B14" s="113"/>
      <c r="C14" s="113"/>
      <c r="D14" s="113"/>
      <c r="E14" s="113"/>
      <c r="F14" s="132"/>
      <c r="G14" s="124">
        <v>130</v>
      </c>
      <c r="H14" s="124">
        <v>340</v>
      </c>
      <c r="I14" s="124">
        <v>1640</v>
      </c>
      <c r="J14" s="124">
        <v>2940</v>
      </c>
      <c r="K14" s="124">
        <v>4240</v>
      </c>
      <c r="L14" s="124">
        <v>5540</v>
      </c>
      <c r="M14" s="114"/>
    </row>
    <row r="15" spans="2:20">
      <c r="B15" s="113"/>
      <c r="C15" s="113"/>
      <c r="D15" s="113"/>
      <c r="E15" s="113"/>
      <c r="F15" s="132"/>
      <c r="G15" s="124">
        <v>140</v>
      </c>
      <c r="H15" s="124">
        <v>440</v>
      </c>
      <c r="I15" s="124">
        <v>1840</v>
      </c>
      <c r="J15" s="124">
        <v>3240</v>
      </c>
      <c r="K15" s="124">
        <v>4640</v>
      </c>
      <c r="L15" s="124">
        <v>6040</v>
      </c>
      <c r="M15" s="114"/>
    </row>
    <row r="20" spans="2:8">
      <c r="B20" s="7" t="s">
        <v>32</v>
      </c>
    </row>
    <row r="21" spans="2:8">
      <c r="B21" s="8" t="s">
        <v>33</v>
      </c>
      <c r="C21" s="8"/>
      <c r="D21" s="8" t="s">
        <v>34</v>
      </c>
      <c r="E21" s="8" t="s">
        <v>35</v>
      </c>
      <c r="F21" s="8" t="s">
        <v>36</v>
      </c>
      <c r="G21" s="8" t="s">
        <v>37</v>
      </c>
      <c r="H21" s="8" t="s">
        <v>38</v>
      </c>
    </row>
    <row r="22" spans="2:8">
      <c r="B22" s="9" t="s">
        <v>47</v>
      </c>
      <c r="C22" s="9"/>
      <c r="D22" s="9">
        <v>105</v>
      </c>
      <c r="E22" s="9" t="s">
        <v>48</v>
      </c>
      <c r="F22" s="9">
        <v>90</v>
      </c>
      <c r="G22" s="9">
        <v>50</v>
      </c>
      <c r="H22" s="9">
        <f t="shared" ref="H22:H31" si="0">F22+G22</f>
        <v>140</v>
      </c>
    </row>
    <row r="23" spans="2:8">
      <c r="B23" s="9" t="s">
        <v>49</v>
      </c>
      <c r="C23" s="9"/>
      <c r="D23" s="9">
        <v>106</v>
      </c>
      <c r="E23" s="9" t="s">
        <v>50</v>
      </c>
      <c r="F23" s="9">
        <v>75</v>
      </c>
      <c r="G23" s="9">
        <v>50</v>
      </c>
      <c r="H23" s="9">
        <f t="shared" si="0"/>
        <v>125</v>
      </c>
    </row>
    <row r="24" spans="2:8">
      <c r="B24" s="9" t="s">
        <v>51</v>
      </c>
      <c r="C24" s="9"/>
      <c r="D24" s="9">
        <v>107</v>
      </c>
      <c r="E24" s="9" t="s">
        <v>52</v>
      </c>
      <c r="F24" s="9">
        <v>80</v>
      </c>
      <c r="G24" s="9">
        <v>60</v>
      </c>
      <c r="H24" s="9">
        <f t="shared" si="0"/>
        <v>140</v>
      </c>
    </row>
    <row r="25" spans="2:8">
      <c r="B25" s="9" t="s">
        <v>39</v>
      </c>
      <c r="C25" s="9"/>
      <c r="D25" s="9">
        <v>101</v>
      </c>
      <c r="E25" s="9" t="s">
        <v>40</v>
      </c>
      <c r="F25" s="9">
        <v>80</v>
      </c>
      <c r="G25" s="9">
        <v>20</v>
      </c>
      <c r="H25" s="9">
        <f t="shared" si="0"/>
        <v>100</v>
      </c>
    </row>
    <row r="26" spans="2:8">
      <c r="B26" s="9" t="s">
        <v>41</v>
      </c>
      <c r="C26" s="9"/>
      <c r="D26" s="9">
        <v>102</v>
      </c>
      <c r="E26" s="9" t="s">
        <v>42</v>
      </c>
      <c r="F26" s="9">
        <v>90</v>
      </c>
      <c r="G26" s="9">
        <v>80</v>
      </c>
      <c r="H26" s="9">
        <f t="shared" si="0"/>
        <v>170</v>
      </c>
    </row>
    <row r="27" spans="2:8">
      <c r="B27" s="9" t="s">
        <v>43</v>
      </c>
      <c r="C27" s="9"/>
      <c r="D27" s="9">
        <v>103</v>
      </c>
      <c r="E27" s="9" t="s">
        <v>44</v>
      </c>
      <c r="F27" s="9">
        <v>60</v>
      </c>
      <c r="G27" s="9">
        <v>60</v>
      </c>
      <c r="H27" s="9">
        <f t="shared" si="0"/>
        <v>120</v>
      </c>
    </row>
    <row r="28" spans="2:8">
      <c r="B28" s="9" t="s">
        <v>45</v>
      </c>
      <c r="C28" s="9"/>
      <c r="D28" s="9">
        <v>104</v>
      </c>
      <c r="E28" s="9" t="s">
        <v>46</v>
      </c>
      <c r="F28" s="9">
        <v>80</v>
      </c>
      <c r="G28" s="9">
        <v>90</v>
      </c>
      <c r="H28" s="9">
        <f t="shared" si="0"/>
        <v>170</v>
      </c>
    </row>
    <row r="29" spans="2:8">
      <c r="B29" s="9" t="s">
        <v>53</v>
      </c>
      <c r="C29" s="9"/>
      <c r="D29" s="9">
        <v>108</v>
      </c>
      <c r="E29" s="9" t="s">
        <v>54</v>
      </c>
      <c r="F29" s="9">
        <v>85</v>
      </c>
      <c r="G29" s="9">
        <v>80</v>
      </c>
      <c r="H29" s="9">
        <f t="shared" si="0"/>
        <v>165</v>
      </c>
    </row>
    <row r="30" spans="2:8">
      <c r="B30" s="9" t="s">
        <v>55</v>
      </c>
      <c r="C30" s="9"/>
      <c r="D30" s="9">
        <v>109</v>
      </c>
      <c r="E30" s="9" t="s">
        <v>56</v>
      </c>
      <c r="F30" s="9">
        <v>60</v>
      </c>
      <c r="G30" s="9">
        <v>55</v>
      </c>
      <c r="H30" s="9">
        <f t="shared" si="0"/>
        <v>115</v>
      </c>
    </row>
    <row r="31" spans="2:8">
      <c r="B31" s="9" t="s">
        <v>57</v>
      </c>
      <c r="C31" s="9"/>
      <c r="D31" s="9">
        <v>110</v>
      </c>
      <c r="E31" s="9" t="s">
        <v>58</v>
      </c>
      <c r="F31" s="9">
        <v>40</v>
      </c>
      <c r="G31" s="9">
        <v>80</v>
      </c>
      <c r="H31" s="9">
        <f t="shared" si="0"/>
        <v>120</v>
      </c>
    </row>
    <row r="39" spans="2:9">
      <c r="F39" s="14"/>
    </row>
    <row r="40" spans="2:9">
      <c r="B40" s="7" t="s">
        <v>59</v>
      </c>
    </row>
    <row r="41" spans="2:9">
      <c r="B41" s="10" t="s">
        <v>60</v>
      </c>
      <c r="C41" s="112"/>
      <c r="D41" s="11" t="s">
        <v>61</v>
      </c>
      <c r="E41" s="11" t="s">
        <v>62</v>
      </c>
      <c r="F41" s="12" t="s">
        <v>63</v>
      </c>
    </row>
    <row r="42" spans="2:9">
      <c r="B42" s="10" t="s">
        <v>64</v>
      </c>
      <c r="C42" s="112"/>
      <c r="D42" s="13" t="s">
        <v>65</v>
      </c>
      <c r="E42" s="11" t="s">
        <v>66</v>
      </c>
      <c r="F42" s="17" t="s">
        <v>99</v>
      </c>
      <c r="I42" s="18"/>
    </row>
    <row r="43" spans="2:9">
      <c r="B43" s="10" t="s">
        <v>67</v>
      </c>
      <c r="C43" s="112"/>
      <c r="D43" s="13" t="s">
        <v>68</v>
      </c>
      <c r="E43" s="11" t="s">
        <v>69</v>
      </c>
      <c r="F43" s="15" t="s">
        <v>70</v>
      </c>
    </row>
    <row r="44" spans="2:9">
      <c r="B44" s="10" t="s">
        <v>71</v>
      </c>
      <c r="C44" s="112"/>
      <c r="D44" s="13" t="s">
        <v>72</v>
      </c>
      <c r="E44" s="11" t="s">
        <v>73</v>
      </c>
      <c r="F44" s="15" t="s">
        <v>74</v>
      </c>
    </row>
    <row r="45" spans="2:9">
      <c r="B45" s="10" t="s">
        <v>75</v>
      </c>
      <c r="C45" s="112"/>
      <c r="D45" s="13" t="s">
        <v>76</v>
      </c>
      <c r="E45" s="11" t="s">
        <v>77</v>
      </c>
      <c r="F45" s="15" t="s">
        <v>78</v>
      </c>
    </row>
    <row r="46" spans="2:9">
      <c r="B46" s="10" t="s">
        <v>79</v>
      </c>
      <c r="C46" s="112"/>
      <c r="D46" s="13" t="s">
        <v>80</v>
      </c>
      <c r="E46" s="11" t="s">
        <v>81</v>
      </c>
      <c r="F46" s="15" t="s">
        <v>82</v>
      </c>
    </row>
    <row r="47" spans="2:9">
      <c r="B47" s="10" t="s">
        <v>83</v>
      </c>
      <c r="C47" s="112"/>
      <c r="D47" s="13" t="s">
        <v>84</v>
      </c>
      <c r="E47" s="11" t="s">
        <v>85</v>
      </c>
      <c r="F47" s="15" t="s">
        <v>86</v>
      </c>
    </row>
    <row r="48" spans="2:9">
      <c r="B48" s="10" t="s">
        <v>87</v>
      </c>
      <c r="C48" s="112"/>
      <c r="D48" s="13" t="s">
        <v>88</v>
      </c>
      <c r="E48" s="11" t="s">
        <v>89</v>
      </c>
      <c r="F48" s="15" t="s">
        <v>90</v>
      </c>
    </row>
    <row r="49" spans="2:6">
      <c r="B49" s="10" t="s">
        <v>91</v>
      </c>
      <c r="C49" s="112"/>
      <c r="D49" s="13" t="s">
        <v>92</v>
      </c>
      <c r="E49" s="11" t="s">
        <v>93</v>
      </c>
      <c r="F49" s="15" t="s">
        <v>94</v>
      </c>
    </row>
    <row r="50" spans="2:6">
      <c r="B50" s="10" t="s">
        <v>95</v>
      </c>
      <c r="C50" s="112"/>
      <c r="D50" s="13" t="s">
        <v>96</v>
      </c>
      <c r="E50" s="11" t="s">
        <v>97</v>
      </c>
      <c r="F50" s="15" t="s">
        <v>98</v>
      </c>
    </row>
    <row r="52" spans="2:6">
      <c r="F52" s="16"/>
    </row>
    <row r="60" spans="2:6">
      <c r="B60" s="7" t="s">
        <v>100</v>
      </c>
    </row>
    <row r="61" spans="2:6">
      <c r="B61" s="8" t="s">
        <v>33</v>
      </c>
      <c r="C61" s="8"/>
      <c r="D61" s="8" t="s">
        <v>34</v>
      </c>
      <c r="E61" s="8" t="s">
        <v>35</v>
      </c>
      <c r="F61" s="8" t="s">
        <v>101</v>
      </c>
    </row>
    <row r="62" spans="2:6">
      <c r="B62" s="9" t="s">
        <v>39</v>
      </c>
      <c r="C62" s="9"/>
      <c r="D62" s="9">
        <v>101</v>
      </c>
      <c r="E62" s="9" t="s">
        <v>40</v>
      </c>
      <c r="F62" s="9">
        <v>12</v>
      </c>
    </row>
    <row r="63" spans="2:6">
      <c r="B63" s="9" t="s">
        <v>41</v>
      </c>
      <c r="C63" s="9"/>
      <c r="D63" s="9">
        <v>102</v>
      </c>
      <c r="E63" s="9" t="s">
        <v>42</v>
      </c>
      <c r="F63" s="9">
        <v>24</v>
      </c>
    </row>
    <row r="64" spans="2:6">
      <c r="B64" s="9" t="s">
        <v>43</v>
      </c>
      <c r="C64" s="9"/>
      <c r="D64" s="9">
        <v>103</v>
      </c>
      <c r="E64" s="9" t="s">
        <v>44</v>
      </c>
      <c r="F64" s="9">
        <v>36</v>
      </c>
    </row>
    <row r="65" spans="2:6">
      <c r="B65" s="9" t="s">
        <v>45</v>
      </c>
      <c r="C65" s="9"/>
      <c r="D65" s="9">
        <v>104</v>
      </c>
      <c r="E65" s="9" t="s">
        <v>46</v>
      </c>
      <c r="F65" s="9">
        <v>48</v>
      </c>
    </row>
    <row r="66" spans="2:6">
      <c r="B66" s="9" t="s">
        <v>47</v>
      </c>
      <c r="C66" s="9"/>
      <c r="D66" s="9">
        <v>105</v>
      </c>
      <c r="E66" s="9" t="s">
        <v>48</v>
      </c>
      <c r="F66" s="9">
        <v>60</v>
      </c>
    </row>
    <row r="67" spans="2:6">
      <c r="B67" s="9" t="s">
        <v>49</v>
      </c>
      <c r="C67" s="9"/>
      <c r="D67" s="9">
        <v>106</v>
      </c>
      <c r="E67" s="9" t="s">
        <v>50</v>
      </c>
      <c r="F67" s="9">
        <v>72</v>
      </c>
    </row>
    <row r="68" spans="2:6">
      <c r="B68" s="9" t="s">
        <v>51</v>
      </c>
      <c r="C68" s="9"/>
      <c r="D68" s="9">
        <v>107</v>
      </c>
      <c r="E68" s="9" t="s">
        <v>52</v>
      </c>
      <c r="F68" s="9">
        <v>84</v>
      </c>
    </row>
    <row r="69" spans="2:6">
      <c r="B69" s="9" t="s">
        <v>53</v>
      </c>
      <c r="C69" s="9"/>
      <c r="D69" s="9">
        <v>108</v>
      </c>
      <c r="E69" s="9" t="s">
        <v>54</v>
      </c>
      <c r="F69" s="9">
        <v>96</v>
      </c>
    </row>
    <row r="70" spans="2:6">
      <c r="B70" s="9" t="s">
        <v>55</v>
      </c>
      <c r="C70" s="9"/>
      <c r="D70" s="9">
        <v>109</v>
      </c>
      <c r="E70" s="9" t="s">
        <v>56</v>
      </c>
      <c r="F70" s="9">
        <v>108</v>
      </c>
    </row>
    <row r="71" spans="2:6">
      <c r="B71" s="9" t="s">
        <v>57</v>
      </c>
      <c r="C71" s="9"/>
      <c r="D71" s="9">
        <v>110</v>
      </c>
      <c r="E71" s="9" t="s">
        <v>58</v>
      </c>
      <c r="F71" s="9">
        <v>120</v>
      </c>
    </row>
    <row r="79" spans="2:6">
      <c r="B79" s="7" t="s">
        <v>102</v>
      </c>
    </row>
    <row r="80" spans="2:6">
      <c r="B80" s="19" t="s">
        <v>60</v>
      </c>
      <c r="C80" s="19"/>
      <c r="D80" s="19" t="s">
        <v>103</v>
      </c>
      <c r="E80" s="19" t="s">
        <v>104</v>
      </c>
      <c r="F80" s="19" t="s">
        <v>105</v>
      </c>
    </row>
    <row r="81" spans="2:6">
      <c r="B81" s="9" t="s">
        <v>106</v>
      </c>
      <c r="C81" s="9"/>
      <c r="D81" s="9">
        <v>301</v>
      </c>
      <c r="E81" s="9" t="s">
        <v>107</v>
      </c>
      <c r="F81" s="20">
        <v>0.1</v>
      </c>
    </row>
    <row r="82" spans="2:6">
      <c r="B82" s="9" t="s">
        <v>108</v>
      </c>
      <c r="C82" s="9"/>
      <c r="D82" s="9">
        <v>302</v>
      </c>
      <c r="E82" s="9" t="s">
        <v>109</v>
      </c>
      <c r="F82" s="20">
        <v>0.04</v>
      </c>
    </row>
    <row r="83" spans="2:6">
      <c r="B83" s="9" t="s">
        <v>110</v>
      </c>
      <c r="C83" s="9"/>
      <c r="D83" s="9">
        <v>303</v>
      </c>
      <c r="E83" s="9" t="s">
        <v>111</v>
      </c>
      <c r="F83" s="20">
        <v>0.15</v>
      </c>
    </row>
    <row r="84" spans="2:6">
      <c r="B84" s="9" t="s">
        <v>112</v>
      </c>
      <c r="C84" s="9"/>
      <c r="D84" s="9">
        <v>304</v>
      </c>
      <c r="E84" s="9" t="s">
        <v>113</v>
      </c>
      <c r="F84" s="20">
        <v>0.05</v>
      </c>
    </row>
    <row r="85" spans="2:6">
      <c r="B85" s="9" t="s">
        <v>114</v>
      </c>
      <c r="C85" s="9"/>
      <c r="D85" s="9">
        <v>305</v>
      </c>
      <c r="E85" s="9" t="s">
        <v>115</v>
      </c>
      <c r="F85" s="20">
        <v>0.1</v>
      </c>
    </row>
    <row r="86" spans="2:6">
      <c r="B86" s="9" t="s">
        <v>116</v>
      </c>
      <c r="C86" s="9"/>
      <c r="D86" s="9">
        <v>306</v>
      </c>
      <c r="E86" s="9" t="s">
        <v>117</v>
      </c>
      <c r="F86" s="20">
        <v>0.12</v>
      </c>
    </row>
    <row r="87" spans="2:6">
      <c r="B87" s="9" t="s">
        <v>118</v>
      </c>
      <c r="C87" s="9"/>
      <c r="D87" s="9">
        <v>307</v>
      </c>
      <c r="E87" s="9" t="s">
        <v>119</v>
      </c>
      <c r="F87" s="20">
        <v>0.13</v>
      </c>
    </row>
    <row r="88" spans="2:6">
      <c r="B88" s="9" t="s">
        <v>120</v>
      </c>
      <c r="C88" s="9"/>
      <c r="D88" s="9">
        <v>308</v>
      </c>
      <c r="E88" s="9" t="s">
        <v>121</v>
      </c>
      <c r="F88" s="20">
        <v>7.0000000000000007E-2</v>
      </c>
    </row>
    <row r="89" spans="2:6">
      <c r="B89" s="9" t="s">
        <v>122</v>
      </c>
      <c r="C89" s="9"/>
      <c r="D89" s="9">
        <v>309</v>
      </c>
      <c r="E89" s="9" t="s">
        <v>121</v>
      </c>
      <c r="F89" s="20">
        <v>0.09</v>
      </c>
    </row>
    <row r="90" spans="2:6">
      <c r="B90" s="9" t="s">
        <v>123</v>
      </c>
      <c r="C90" s="9"/>
      <c r="D90" s="9">
        <v>310</v>
      </c>
      <c r="E90" s="9" t="s">
        <v>124</v>
      </c>
      <c r="F90" s="20">
        <v>0.15</v>
      </c>
    </row>
    <row r="91" spans="2:6">
      <c r="B91" s="129" t="s">
        <v>125</v>
      </c>
      <c r="C91" s="129"/>
      <c r="D91" s="129"/>
      <c r="E91" s="129"/>
      <c r="F91" s="21">
        <f>SUM(F81:F90)</f>
        <v>1</v>
      </c>
    </row>
    <row r="100" spans="2:6">
      <c r="B100" s="133" t="s">
        <v>429</v>
      </c>
      <c r="C100" s="133"/>
      <c r="D100" s="133"/>
      <c r="E100" s="133"/>
      <c r="F100" s="128"/>
    </row>
    <row r="101" spans="2:6">
      <c r="B101" s="11" t="s">
        <v>404</v>
      </c>
      <c r="C101" s="11" t="s">
        <v>414</v>
      </c>
      <c r="D101" s="11" t="s">
        <v>415</v>
      </c>
      <c r="E101" s="11" t="s">
        <v>416</v>
      </c>
    </row>
    <row r="102" spans="2:6">
      <c r="B102" s="11" t="s">
        <v>437</v>
      </c>
      <c r="C102" s="109">
        <v>32</v>
      </c>
      <c r="D102" s="109">
        <v>48</v>
      </c>
      <c r="E102" s="109">
        <v>112</v>
      </c>
    </row>
    <row r="103" spans="2:6">
      <c r="B103" s="11" t="s">
        <v>438</v>
      </c>
      <c r="C103" s="109">
        <v>42</v>
      </c>
      <c r="D103" s="109">
        <v>56</v>
      </c>
      <c r="E103" s="109">
        <v>168</v>
      </c>
    </row>
    <row r="104" spans="2:6">
      <c r="B104" s="11" t="s">
        <v>408</v>
      </c>
      <c r="C104" s="125">
        <v>206</v>
      </c>
      <c r="D104" s="125">
        <v>226</v>
      </c>
      <c r="E104" s="125">
        <v>243</v>
      </c>
    </row>
    <row r="105" spans="2:6">
      <c r="B105" s="11" t="s">
        <v>409</v>
      </c>
      <c r="C105" s="125">
        <v>147</v>
      </c>
      <c r="D105" s="125">
        <v>331</v>
      </c>
      <c r="E105" s="125">
        <v>385</v>
      </c>
    </row>
    <row r="106" spans="2:6">
      <c r="B106" s="110" t="s">
        <v>410</v>
      </c>
      <c r="C106" s="126">
        <v>256</v>
      </c>
      <c r="D106" s="126">
        <v>264</v>
      </c>
      <c r="E106" s="126">
        <v>529</v>
      </c>
    </row>
    <row r="107" spans="2:6">
      <c r="B107" s="111" t="s">
        <v>411</v>
      </c>
      <c r="C107" s="127">
        <v>242</v>
      </c>
      <c r="D107" s="127">
        <v>152</v>
      </c>
      <c r="E107" s="127">
        <v>274</v>
      </c>
    </row>
    <row r="108" spans="2:6">
      <c r="B108" s="111" t="s">
        <v>436</v>
      </c>
      <c r="C108" s="127">
        <v>21</v>
      </c>
      <c r="D108" s="127">
        <v>11</v>
      </c>
      <c r="E108" s="127">
        <v>6</v>
      </c>
    </row>
  </sheetData>
  <sortState xmlns:x14="http://schemas.microsoft.com/office/spreadsheetml/2009/9/main" ref="B22:H31">
    <mc:AlternateContent xmlns:mc="http://schemas.openxmlformats.org/markup-compatibility/2006">
      <mc:Choice Requires="x14">
        <x14:sortCondition sortBy="icon" ref="G22:G31" iconSet="3Stars" iconId="1"/>
      </mc:Choice>
    </mc:AlternateContent>
  </sortState>
  <dataConsolidate topLabels="1" link="1">
    <dataRefs count="2">
      <dataRef ref="D3:G14" sheet="김포대리점"/>
      <dataRef ref="B3:E100" sheet="인천대리점"/>
    </dataRefs>
  </dataConsolidate>
  <mergeCells count="4">
    <mergeCell ref="B91:E91"/>
    <mergeCell ref="H4:L4"/>
    <mergeCell ref="F6:F15"/>
    <mergeCell ref="B100:E100"/>
  </mergeCells>
  <phoneticPr fontId="1" type="noConversion"/>
  <dataValidations count="5">
    <dataValidation type="custom" allowBlank="1" showInputMessage="1" showErrorMessage="1" errorTitle="입력오류" error="@로 시작할 수 없습니다." sqref="F42:F50">
      <formula1>SEARCH("@", F42)&lt;&gt;1</formula1>
    </dataValidation>
    <dataValidation type="custom" errorStyle="information" allowBlank="1" showInputMessage="1" showErrorMessage="1" errorTitle="좌석오류" error="12칸씩떨어져야합니다" sqref="M66">
      <formula1>"&gt;=3"</formula1>
    </dataValidation>
    <dataValidation type="custom" errorStyle="warning" allowBlank="1" showInputMessage="1" showErrorMessage="1" errorTitle="좌석오류" error="12칸씩떨어져야합니다" sqref="F62:F71">
      <formula1>MOD(F62,12)=0</formula1>
    </dataValidation>
    <dataValidation type="custom" errorStyle="information" allowBlank="1" showInputMessage="1" showErrorMessage="1" errorTitle="비율오류" error="다시 입력하세요" sqref="K84">
      <formula1>"&gt;=3"</formula1>
    </dataValidation>
    <dataValidation type="custom" errorStyle="information" allowBlank="1" showInputMessage="1" showErrorMessage="1" errorTitle="비율오류" error="다시 입력하세요" sqref="F81:F90">
      <formula1>SUM($F$81:$F$90)=100%</formula1>
    </dataValidation>
  </dataValidations>
  <hyperlinks>
    <hyperlink ref="F43" r:id="rId1"/>
    <hyperlink ref="F44" r:id="rId2"/>
    <hyperlink ref="F45" r:id="rId3"/>
    <hyperlink ref="F46" r:id="rId4"/>
    <hyperlink ref="F47" r:id="rId5"/>
    <hyperlink ref="F48" r:id="rId6"/>
    <hyperlink ref="F49" r:id="rId7"/>
    <hyperlink ref="F50" r:id="rId8"/>
    <hyperlink ref="F42" r:id="rId9"/>
  </hyperlinks>
  <pageMargins left="0.7" right="0.7" top="0.75" bottom="0.75" header="0.3" footer="0.3"/>
  <pageSetup paperSize="9" orientation="portrait"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36739788-52BC-4A3C-9D9C-A156C77274B3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H22:H31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G14"/>
  <sheetViews>
    <sheetView workbookViewId="0">
      <selection activeCell="E14" sqref="E14"/>
    </sheetView>
  </sheetViews>
  <sheetFormatPr defaultRowHeight="16.5"/>
  <cols>
    <col min="5" max="5" width="11.875" bestFit="1" customWidth="1"/>
    <col min="7" max="7" width="11" customWidth="1"/>
  </cols>
  <sheetData>
    <row r="2" spans="2:7">
      <c r="B2" s="134" t="s">
        <v>402</v>
      </c>
      <c r="C2" s="134"/>
      <c r="D2" s="134"/>
      <c r="E2" s="134"/>
    </row>
    <row r="3" spans="2:7">
      <c r="B3" t="s">
        <v>430</v>
      </c>
      <c r="C3" t="s">
        <v>431</v>
      </c>
      <c r="D3" t="s">
        <v>404</v>
      </c>
      <c r="E3" t="s">
        <v>432</v>
      </c>
      <c r="F3" t="s">
        <v>415</v>
      </c>
      <c r="G3" t="s">
        <v>416</v>
      </c>
    </row>
    <row r="4" spans="2:7">
      <c r="B4" t="s">
        <v>433</v>
      </c>
      <c r="C4" t="s">
        <v>434</v>
      </c>
      <c r="D4" t="s">
        <v>408</v>
      </c>
      <c r="E4">
        <v>12</v>
      </c>
      <c r="F4">
        <v>13</v>
      </c>
      <c r="G4">
        <v>14</v>
      </c>
    </row>
    <row r="5" spans="2:7">
      <c r="B5" t="s">
        <v>67</v>
      </c>
      <c r="C5" t="s">
        <v>434</v>
      </c>
      <c r="D5" t="s">
        <v>409</v>
      </c>
      <c r="E5">
        <v>5</v>
      </c>
      <c r="F5">
        <v>5</v>
      </c>
      <c r="G5">
        <v>18</v>
      </c>
    </row>
    <row r="6" spans="2:7">
      <c r="B6" t="s">
        <v>71</v>
      </c>
      <c r="C6" t="s">
        <v>434</v>
      </c>
      <c r="D6" t="s">
        <v>410</v>
      </c>
      <c r="E6">
        <v>11</v>
      </c>
      <c r="F6">
        <v>8</v>
      </c>
      <c r="G6">
        <v>24</v>
      </c>
    </row>
    <row r="7" spans="2:7">
      <c r="B7" t="s">
        <v>75</v>
      </c>
      <c r="C7" t="s">
        <v>434</v>
      </c>
      <c r="D7" t="s">
        <v>411</v>
      </c>
      <c r="E7">
        <v>14</v>
      </c>
      <c r="F7">
        <v>14</v>
      </c>
      <c r="G7">
        <v>12</v>
      </c>
    </row>
    <row r="8" spans="2:7">
      <c r="B8" t="s">
        <v>79</v>
      </c>
      <c r="C8" t="s">
        <v>434</v>
      </c>
      <c r="D8" t="s">
        <v>408</v>
      </c>
      <c r="E8">
        <v>18</v>
      </c>
      <c r="F8">
        <v>18</v>
      </c>
      <c r="G8">
        <v>5</v>
      </c>
    </row>
    <row r="9" spans="2:7">
      <c r="B9" t="s">
        <v>83</v>
      </c>
      <c r="C9" t="s">
        <v>435</v>
      </c>
      <c r="D9" t="s">
        <v>408</v>
      </c>
      <c r="E9">
        <v>24</v>
      </c>
      <c r="F9">
        <v>23</v>
      </c>
      <c r="G9">
        <v>8</v>
      </c>
    </row>
    <row r="10" spans="2:7">
      <c r="B10" t="s">
        <v>87</v>
      </c>
      <c r="C10" t="s">
        <v>435</v>
      </c>
      <c r="D10" t="s">
        <v>411</v>
      </c>
      <c r="E10">
        <v>12</v>
      </c>
      <c r="F10">
        <v>10</v>
      </c>
      <c r="G10">
        <v>14</v>
      </c>
    </row>
    <row r="11" spans="2:7">
      <c r="B11" t="s">
        <v>91</v>
      </c>
      <c r="C11" t="s">
        <v>435</v>
      </c>
      <c r="D11" t="s">
        <v>410</v>
      </c>
      <c r="E11">
        <v>19</v>
      </c>
      <c r="F11">
        <v>4</v>
      </c>
      <c r="G11">
        <v>18</v>
      </c>
    </row>
    <row r="12" spans="2:7">
      <c r="B12" t="s">
        <v>95</v>
      </c>
      <c r="C12" t="s">
        <v>435</v>
      </c>
      <c r="D12" t="s">
        <v>409</v>
      </c>
      <c r="E12">
        <v>20</v>
      </c>
      <c r="F12">
        <v>6</v>
      </c>
      <c r="G12">
        <v>23</v>
      </c>
    </row>
    <row r="13" spans="2:7">
      <c r="B13" t="s">
        <v>151</v>
      </c>
      <c r="C13" t="s">
        <v>435</v>
      </c>
      <c r="D13" t="s">
        <v>410</v>
      </c>
      <c r="E13">
        <v>21</v>
      </c>
      <c r="F13">
        <v>3</v>
      </c>
      <c r="G13">
        <v>4</v>
      </c>
    </row>
    <row r="14" spans="2:7">
      <c r="B14" t="s">
        <v>232</v>
      </c>
      <c r="C14" t="s">
        <v>435</v>
      </c>
      <c r="D14" t="s">
        <v>436</v>
      </c>
      <c r="E14">
        <v>21</v>
      </c>
      <c r="F14">
        <v>11</v>
      </c>
      <c r="G14">
        <v>6</v>
      </c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E100"/>
  <sheetViews>
    <sheetView workbookViewId="0">
      <selection activeCell="E3" sqref="E3"/>
    </sheetView>
  </sheetViews>
  <sheetFormatPr defaultRowHeight="16.5"/>
  <cols>
    <col min="4" max="4" width="10.875" bestFit="1" customWidth="1"/>
  </cols>
  <sheetData>
    <row r="2" spans="2:5">
      <c r="B2" s="134" t="s">
        <v>403</v>
      </c>
      <c r="C2" s="134"/>
      <c r="D2" s="134"/>
      <c r="E2" s="134"/>
    </row>
    <row r="3" spans="2:5">
      <c r="B3" s="11" t="s">
        <v>404</v>
      </c>
      <c r="C3" s="11" t="s">
        <v>405</v>
      </c>
      <c r="D3" s="11" t="s">
        <v>406</v>
      </c>
      <c r="E3" s="11" t="s">
        <v>407</v>
      </c>
    </row>
    <row r="4" spans="2:5">
      <c r="B4" s="105" t="s">
        <v>408</v>
      </c>
      <c r="C4" s="106">
        <v>18</v>
      </c>
      <c r="D4" s="106">
        <v>23</v>
      </c>
      <c r="E4" s="106">
        <v>10</v>
      </c>
    </row>
    <row r="5" spans="2:5">
      <c r="B5" s="105" t="s">
        <v>409</v>
      </c>
      <c r="C5" s="106">
        <v>9</v>
      </c>
      <c r="D5" s="106">
        <v>19</v>
      </c>
      <c r="E5" s="106">
        <v>4</v>
      </c>
    </row>
    <row r="6" spans="2:5">
      <c r="B6" s="105" t="s">
        <v>410</v>
      </c>
      <c r="C6" s="106">
        <v>23</v>
      </c>
      <c r="D6" s="106">
        <v>13</v>
      </c>
      <c r="E6" s="106">
        <v>8</v>
      </c>
    </row>
    <row r="7" spans="2:5">
      <c r="B7" s="105" t="s">
        <v>411</v>
      </c>
      <c r="C7" s="106">
        <v>19</v>
      </c>
      <c r="D7" s="106">
        <v>8</v>
      </c>
      <c r="E7" s="106">
        <v>15</v>
      </c>
    </row>
    <row r="8" spans="2:5">
      <c r="B8" s="105" t="s">
        <v>409</v>
      </c>
      <c r="C8" s="106">
        <v>13</v>
      </c>
      <c r="D8" s="106">
        <v>14</v>
      </c>
      <c r="E8" s="106">
        <v>6</v>
      </c>
    </row>
    <row r="9" spans="2:5">
      <c r="B9" s="105" t="s">
        <v>408</v>
      </c>
      <c r="C9" s="106">
        <v>8</v>
      </c>
      <c r="D9" s="106">
        <v>6</v>
      </c>
      <c r="E9" s="106">
        <v>6</v>
      </c>
    </row>
    <row r="10" spans="2:5">
      <c r="B10" s="105" t="s">
        <v>412</v>
      </c>
      <c r="C10" s="106">
        <v>14</v>
      </c>
      <c r="D10" s="106">
        <v>6</v>
      </c>
      <c r="E10" s="106">
        <v>4</v>
      </c>
    </row>
    <row r="11" spans="2:5">
      <c r="B11" s="105" t="s">
        <v>408</v>
      </c>
      <c r="C11" s="106">
        <v>10</v>
      </c>
      <c r="D11" s="106">
        <v>4</v>
      </c>
      <c r="E11" s="106">
        <v>8</v>
      </c>
    </row>
    <row r="12" spans="2:5">
      <c r="B12" s="105" t="s">
        <v>411</v>
      </c>
      <c r="C12" s="106">
        <v>12</v>
      </c>
      <c r="D12" s="106">
        <v>8</v>
      </c>
      <c r="E12" s="106">
        <v>12</v>
      </c>
    </row>
    <row r="13" spans="2:5">
      <c r="B13" s="105" t="s">
        <v>410</v>
      </c>
      <c r="C13" s="106">
        <v>19</v>
      </c>
      <c r="D13" s="106">
        <v>12</v>
      </c>
      <c r="E13" s="106">
        <v>8</v>
      </c>
    </row>
    <row r="14" spans="2:5">
      <c r="B14" s="105" t="s">
        <v>409</v>
      </c>
      <c r="C14" s="106">
        <v>24</v>
      </c>
      <c r="D14" s="106">
        <v>8</v>
      </c>
      <c r="E14" s="106">
        <v>6</v>
      </c>
    </row>
    <row r="15" spans="2:5">
      <c r="B15" s="105" t="s">
        <v>410</v>
      </c>
      <c r="C15" s="106">
        <v>21</v>
      </c>
      <c r="D15" s="106">
        <v>7</v>
      </c>
      <c r="E15" s="106">
        <v>11</v>
      </c>
    </row>
    <row r="16" spans="2:5">
      <c r="B16" s="105" t="s">
        <v>413</v>
      </c>
      <c r="C16" s="106">
        <v>24</v>
      </c>
      <c r="D16" s="106">
        <v>8</v>
      </c>
      <c r="E16" s="106">
        <v>6</v>
      </c>
    </row>
    <row r="17" spans="2:5">
      <c r="B17" s="105" t="s">
        <v>408</v>
      </c>
      <c r="C17" s="106">
        <v>18</v>
      </c>
      <c r="D17" s="106">
        <v>23</v>
      </c>
      <c r="E17" s="106">
        <v>10</v>
      </c>
    </row>
    <row r="18" spans="2:5">
      <c r="B18" s="105" t="s">
        <v>409</v>
      </c>
      <c r="C18" s="106">
        <v>9</v>
      </c>
      <c r="D18" s="106">
        <v>19</v>
      </c>
      <c r="E18" s="106">
        <v>4</v>
      </c>
    </row>
    <row r="19" spans="2:5">
      <c r="B19" s="105" t="s">
        <v>410</v>
      </c>
      <c r="C19" s="106">
        <v>23</v>
      </c>
      <c r="D19" s="106">
        <v>13</v>
      </c>
      <c r="E19" s="106">
        <v>8</v>
      </c>
    </row>
    <row r="20" spans="2:5">
      <c r="B20" s="105" t="s">
        <v>411</v>
      </c>
      <c r="C20" s="106">
        <v>19</v>
      </c>
      <c r="D20" s="106">
        <v>8</v>
      </c>
      <c r="E20" s="106">
        <v>15</v>
      </c>
    </row>
    <row r="21" spans="2:5">
      <c r="B21" s="105" t="s">
        <v>409</v>
      </c>
      <c r="C21" s="106">
        <v>13</v>
      </c>
      <c r="D21" s="106">
        <v>14</v>
      </c>
      <c r="E21" s="106">
        <v>6</v>
      </c>
    </row>
    <row r="22" spans="2:5">
      <c r="B22" s="105" t="s">
        <v>408</v>
      </c>
      <c r="C22" s="106">
        <v>8</v>
      </c>
      <c r="D22" s="106">
        <v>6</v>
      </c>
      <c r="E22" s="106">
        <v>6</v>
      </c>
    </row>
    <row r="23" spans="2:5">
      <c r="B23" s="105" t="s">
        <v>412</v>
      </c>
      <c r="C23" s="106">
        <v>14</v>
      </c>
      <c r="D23" s="106">
        <v>6</v>
      </c>
      <c r="E23" s="106">
        <v>4</v>
      </c>
    </row>
    <row r="24" spans="2:5">
      <c r="B24" s="105" t="s">
        <v>408</v>
      </c>
      <c r="C24" s="106">
        <v>10</v>
      </c>
      <c r="D24" s="106">
        <v>4</v>
      </c>
      <c r="E24" s="106">
        <v>8</v>
      </c>
    </row>
    <row r="25" spans="2:5">
      <c r="B25" s="105" t="s">
        <v>411</v>
      </c>
      <c r="C25" s="106">
        <v>12</v>
      </c>
      <c r="D25" s="106">
        <v>8</v>
      </c>
      <c r="E25" s="106">
        <v>12</v>
      </c>
    </row>
    <row r="26" spans="2:5">
      <c r="B26" s="105" t="s">
        <v>410</v>
      </c>
      <c r="C26" s="106">
        <v>19</v>
      </c>
      <c r="D26" s="106">
        <v>12</v>
      </c>
      <c r="E26" s="106">
        <v>8</v>
      </c>
    </row>
    <row r="27" spans="2:5">
      <c r="B27" s="105" t="s">
        <v>409</v>
      </c>
      <c r="C27" s="106">
        <v>24</v>
      </c>
      <c r="D27" s="106">
        <v>8</v>
      </c>
      <c r="E27" s="106">
        <v>6</v>
      </c>
    </row>
    <row r="28" spans="2:5">
      <c r="B28" s="105" t="s">
        <v>410</v>
      </c>
      <c r="C28" s="106">
        <v>21</v>
      </c>
      <c r="D28" s="106">
        <v>7</v>
      </c>
      <c r="E28" s="106">
        <v>11</v>
      </c>
    </row>
    <row r="29" spans="2:5">
      <c r="B29" s="105" t="s">
        <v>413</v>
      </c>
      <c r="C29" s="106">
        <v>24</v>
      </c>
      <c r="D29" s="106">
        <v>8</v>
      </c>
      <c r="E29" s="106">
        <v>6</v>
      </c>
    </row>
    <row r="30" spans="2:5">
      <c r="B30" s="105" t="s">
        <v>408</v>
      </c>
      <c r="C30" s="106">
        <v>18</v>
      </c>
      <c r="D30" s="106">
        <v>23</v>
      </c>
      <c r="E30" s="106">
        <v>10</v>
      </c>
    </row>
    <row r="31" spans="2:5">
      <c r="B31" s="105" t="s">
        <v>409</v>
      </c>
      <c r="C31" s="106">
        <v>9</v>
      </c>
      <c r="D31" s="106">
        <v>19</v>
      </c>
      <c r="E31" s="106">
        <v>4</v>
      </c>
    </row>
    <row r="32" spans="2:5">
      <c r="B32" s="105" t="s">
        <v>410</v>
      </c>
      <c r="C32" s="106">
        <v>23</v>
      </c>
      <c r="D32" s="106">
        <v>13</v>
      </c>
      <c r="E32" s="106">
        <v>8</v>
      </c>
    </row>
    <row r="33" spans="2:5">
      <c r="B33" s="105" t="s">
        <v>411</v>
      </c>
      <c r="C33" s="106">
        <v>19</v>
      </c>
      <c r="D33" s="106">
        <v>8</v>
      </c>
      <c r="E33" s="106">
        <v>15</v>
      </c>
    </row>
    <row r="34" spans="2:5">
      <c r="B34" s="105" t="s">
        <v>409</v>
      </c>
      <c r="C34" s="106">
        <v>13</v>
      </c>
      <c r="D34" s="106">
        <v>14</v>
      </c>
      <c r="E34" s="106">
        <v>6</v>
      </c>
    </row>
    <row r="35" spans="2:5">
      <c r="B35" s="105" t="s">
        <v>408</v>
      </c>
      <c r="C35" s="106">
        <v>8</v>
      </c>
      <c r="D35" s="106">
        <v>6</v>
      </c>
      <c r="E35" s="106">
        <v>6</v>
      </c>
    </row>
    <row r="36" spans="2:5">
      <c r="B36" s="105" t="s">
        <v>412</v>
      </c>
      <c r="C36" s="106">
        <v>14</v>
      </c>
      <c r="D36" s="106">
        <v>6</v>
      </c>
      <c r="E36" s="106">
        <v>4</v>
      </c>
    </row>
    <row r="37" spans="2:5">
      <c r="B37" s="105" t="s">
        <v>408</v>
      </c>
      <c r="C37" s="106">
        <v>10</v>
      </c>
      <c r="D37" s="106">
        <v>4</v>
      </c>
      <c r="E37" s="106">
        <v>8</v>
      </c>
    </row>
    <row r="38" spans="2:5">
      <c r="B38" s="105" t="s">
        <v>411</v>
      </c>
      <c r="C38" s="106">
        <v>12</v>
      </c>
      <c r="D38" s="106">
        <v>8</v>
      </c>
      <c r="E38" s="106">
        <v>12</v>
      </c>
    </row>
    <row r="39" spans="2:5">
      <c r="B39" s="105" t="s">
        <v>410</v>
      </c>
      <c r="C39" s="106">
        <v>19</v>
      </c>
      <c r="D39" s="106">
        <v>12</v>
      </c>
      <c r="E39" s="106">
        <v>8</v>
      </c>
    </row>
    <row r="40" spans="2:5">
      <c r="B40" s="105" t="s">
        <v>409</v>
      </c>
      <c r="C40" s="106">
        <v>24</v>
      </c>
      <c r="D40" s="106">
        <v>8</v>
      </c>
      <c r="E40" s="106">
        <v>6</v>
      </c>
    </row>
    <row r="41" spans="2:5">
      <c r="B41" s="105" t="s">
        <v>410</v>
      </c>
      <c r="C41" s="106">
        <v>21</v>
      </c>
      <c r="D41" s="106">
        <v>7</v>
      </c>
      <c r="E41" s="106">
        <v>11</v>
      </c>
    </row>
    <row r="42" spans="2:5">
      <c r="B42" s="105" t="s">
        <v>413</v>
      </c>
      <c r="C42" s="106">
        <v>24</v>
      </c>
      <c r="D42" s="106">
        <v>8</v>
      </c>
      <c r="E42" s="106">
        <v>6</v>
      </c>
    </row>
    <row r="43" spans="2:5">
      <c r="B43" s="105" t="s">
        <v>408</v>
      </c>
      <c r="C43" s="106">
        <v>18</v>
      </c>
      <c r="D43" s="106">
        <v>23</v>
      </c>
      <c r="E43" s="106">
        <v>10</v>
      </c>
    </row>
    <row r="44" spans="2:5">
      <c r="B44" s="105" t="s">
        <v>409</v>
      </c>
      <c r="C44" s="106">
        <v>9</v>
      </c>
      <c r="D44" s="106">
        <v>19</v>
      </c>
      <c r="E44" s="106">
        <v>4</v>
      </c>
    </row>
    <row r="45" spans="2:5">
      <c r="B45" s="105" t="s">
        <v>410</v>
      </c>
      <c r="C45" s="106">
        <v>23</v>
      </c>
      <c r="D45" s="106">
        <v>13</v>
      </c>
      <c r="E45" s="106">
        <v>8</v>
      </c>
    </row>
    <row r="46" spans="2:5">
      <c r="B46" s="105" t="s">
        <v>411</v>
      </c>
      <c r="C46" s="106">
        <v>19</v>
      </c>
      <c r="D46" s="106">
        <v>8</v>
      </c>
      <c r="E46" s="106">
        <v>15</v>
      </c>
    </row>
    <row r="47" spans="2:5">
      <c r="B47" s="105" t="s">
        <v>409</v>
      </c>
      <c r="C47" s="106">
        <v>13</v>
      </c>
      <c r="D47" s="106">
        <v>14</v>
      </c>
      <c r="E47" s="106">
        <v>6</v>
      </c>
    </row>
    <row r="48" spans="2:5">
      <c r="B48" s="105" t="s">
        <v>408</v>
      </c>
      <c r="C48" s="106">
        <v>8</v>
      </c>
      <c r="D48" s="106">
        <v>6</v>
      </c>
      <c r="E48" s="106">
        <v>6</v>
      </c>
    </row>
    <row r="49" spans="2:5">
      <c r="B49" s="105" t="s">
        <v>412</v>
      </c>
      <c r="C49" s="106">
        <v>14</v>
      </c>
      <c r="D49" s="106">
        <v>6</v>
      </c>
      <c r="E49" s="106">
        <v>4</v>
      </c>
    </row>
    <row r="50" spans="2:5">
      <c r="B50" s="105" t="s">
        <v>408</v>
      </c>
      <c r="C50" s="106">
        <v>10</v>
      </c>
      <c r="D50" s="106">
        <v>4</v>
      </c>
      <c r="E50" s="106">
        <v>8</v>
      </c>
    </row>
    <row r="51" spans="2:5">
      <c r="B51" s="105" t="s">
        <v>411</v>
      </c>
      <c r="C51" s="106">
        <v>12</v>
      </c>
      <c r="D51" s="106">
        <v>8</v>
      </c>
      <c r="E51" s="106">
        <v>12</v>
      </c>
    </row>
    <row r="52" spans="2:5">
      <c r="B52" s="105" t="s">
        <v>410</v>
      </c>
      <c r="C52" s="106">
        <v>19</v>
      </c>
      <c r="D52" s="106">
        <v>12</v>
      </c>
      <c r="E52" s="106">
        <v>8</v>
      </c>
    </row>
    <row r="53" spans="2:5">
      <c r="B53" s="105" t="s">
        <v>409</v>
      </c>
      <c r="C53" s="106">
        <v>24</v>
      </c>
      <c r="D53" s="106">
        <v>8</v>
      </c>
      <c r="E53" s="106">
        <v>6</v>
      </c>
    </row>
    <row r="54" spans="2:5">
      <c r="B54" s="105" t="s">
        <v>410</v>
      </c>
      <c r="C54" s="106">
        <v>21</v>
      </c>
      <c r="D54" s="106">
        <v>7</v>
      </c>
      <c r="E54" s="106">
        <v>11</v>
      </c>
    </row>
    <row r="55" spans="2:5">
      <c r="B55" s="105" t="s">
        <v>413</v>
      </c>
      <c r="C55" s="106">
        <v>24</v>
      </c>
      <c r="D55" s="106">
        <v>8</v>
      </c>
      <c r="E55" s="106">
        <v>6</v>
      </c>
    </row>
    <row r="56" spans="2:5">
      <c r="B56" s="105" t="s">
        <v>409</v>
      </c>
      <c r="C56" s="106">
        <v>9</v>
      </c>
      <c r="D56" s="106">
        <v>19</v>
      </c>
      <c r="E56" s="106">
        <v>4</v>
      </c>
    </row>
    <row r="57" spans="2:5">
      <c r="B57" s="105" t="s">
        <v>410</v>
      </c>
      <c r="C57" s="106">
        <v>23</v>
      </c>
      <c r="D57" s="106">
        <v>13</v>
      </c>
      <c r="E57" s="106">
        <v>8</v>
      </c>
    </row>
    <row r="58" spans="2:5">
      <c r="B58" s="105" t="s">
        <v>411</v>
      </c>
      <c r="C58" s="106">
        <v>19</v>
      </c>
      <c r="D58" s="106">
        <v>8</v>
      </c>
      <c r="E58" s="106">
        <v>15</v>
      </c>
    </row>
    <row r="59" spans="2:5">
      <c r="B59" s="105" t="s">
        <v>409</v>
      </c>
      <c r="C59" s="106">
        <v>13</v>
      </c>
      <c r="D59" s="106">
        <v>14</v>
      </c>
      <c r="E59" s="106">
        <v>6</v>
      </c>
    </row>
    <row r="60" spans="2:5">
      <c r="B60" s="105" t="s">
        <v>408</v>
      </c>
      <c r="C60" s="106">
        <v>8</v>
      </c>
      <c r="D60" s="106">
        <v>6</v>
      </c>
      <c r="E60" s="106">
        <v>6</v>
      </c>
    </row>
    <row r="61" spans="2:5">
      <c r="B61" s="105" t="s">
        <v>412</v>
      </c>
      <c r="C61" s="106">
        <v>14</v>
      </c>
      <c r="D61" s="106">
        <v>6</v>
      </c>
      <c r="E61" s="106">
        <v>4</v>
      </c>
    </row>
    <row r="62" spans="2:5">
      <c r="B62" s="105" t="s">
        <v>408</v>
      </c>
      <c r="C62" s="106">
        <v>10</v>
      </c>
      <c r="D62" s="106">
        <v>4</v>
      </c>
      <c r="E62" s="106">
        <v>8</v>
      </c>
    </row>
    <row r="63" spans="2:5">
      <c r="B63" s="105" t="s">
        <v>411</v>
      </c>
      <c r="C63" s="106">
        <v>12</v>
      </c>
      <c r="D63" s="106">
        <v>8</v>
      </c>
      <c r="E63" s="106">
        <v>12</v>
      </c>
    </row>
    <row r="64" spans="2:5">
      <c r="B64" s="105" t="s">
        <v>410</v>
      </c>
      <c r="C64" s="106">
        <v>19</v>
      </c>
      <c r="D64" s="106">
        <v>12</v>
      </c>
      <c r="E64" s="106">
        <v>8</v>
      </c>
    </row>
    <row r="65" spans="2:5">
      <c r="B65" s="105" t="s">
        <v>409</v>
      </c>
      <c r="C65" s="106">
        <v>24</v>
      </c>
      <c r="D65" s="106">
        <v>8</v>
      </c>
      <c r="E65" s="106">
        <v>6</v>
      </c>
    </row>
    <row r="66" spans="2:5">
      <c r="B66" s="105" t="s">
        <v>410</v>
      </c>
      <c r="C66" s="106">
        <v>21</v>
      </c>
      <c r="D66" s="106">
        <v>7</v>
      </c>
      <c r="E66" s="106">
        <v>11</v>
      </c>
    </row>
    <row r="67" spans="2:5">
      <c r="B67" s="105" t="s">
        <v>413</v>
      </c>
      <c r="C67" s="106">
        <v>24</v>
      </c>
      <c r="D67" s="106">
        <v>8</v>
      </c>
      <c r="E67" s="106">
        <v>6</v>
      </c>
    </row>
    <row r="68" spans="2:5">
      <c r="B68" s="105" t="s">
        <v>409</v>
      </c>
      <c r="C68" s="106">
        <v>9</v>
      </c>
      <c r="D68" s="106">
        <v>19</v>
      </c>
      <c r="E68" s="106">
        <v>4</v>
      </c>
    </row>
    <row r="69" spans="2:5">
      <c r="B69" s="105" t="s">
        <v>410</v>
      </c>
      <c r="C69" s="106">
        <v>23</v>
      </c>
      <c r="D69" s="106">
        <v>13</v>
      </c>
      <c r="E69" s="106">
        <v>8</v>
      </c>
    </row>
    <row r="70" spans="2:5">
      <c r="B70" s="105" t="s">
        <v>411</v>
      </c>
      <c r="C70" s="106">
        <v>19</v>
      </c>
      <c r="D70" s="106">
        <v>8</v>
      </c>
      <c r="E70" s="106">
        <v>15</v>
      </c>
    </row>
    <row r="71" spans="2:5">
      <c r="B71" s="105" t="s">
        <v>409</v>
      </c>
      <c r="C71" s="106">
        <v>13</v>
      </c>
      <c r="D71" s="106">
        <v>14</v>
      </c>
      <c r="E71" s="106">
        <v>6</v>
      </c>
    </row>
    <row r="72" spans="2:5">
      <c r="B72" s="105" t="s">
        <v>408</v>
      </c>
      <c r="C72" s="106">
        <v>8</v>
      </c>
      <c r="D72" s="106">
        <v>6</v>
      </c>
      <c r="E72" s="106">
        <v>6</v>
      </c>
    </row>
    <row r="73" spans="2:5">
      <c r="B73" s="105" t="s">
        <v>412</v>
      </c>
      <c r="C73" s="106">
        <v>14</v>
      </c>
      <c r="D73" s="106">
        <v>6</v>
      </c>
      <c r="E73" s="106">
        <v>4</v>
      </c>
    </row>
    <row r="74" spans="2:5">
      <c r="B74" s="105" t="s">
        <v>408</v>
      </c>
      <c r="C74" s="106">
        <v>10</v>
      </c>
      <c r="D74" s="106">
        <v>4</v>
      </c>
      <c r="E74" s="106">
        <v>8</v>
      </c>
    </row>
    <row r="75" spans="2:5">
      <c r="B75" s="105" t="s">
        <v>411</v>
      </c>
      <c r="C75" s="106">
        <v>12</v>
      </c>
      <c r="D75" s="106">
        <v>8</v>
      </c>
      <c r="E75" s="106">
        <v>12</v>
      </c>
    </row>
    <row r="76" spans="2:5">
      <c r="B76" s="105" t="s">
        <v>410</v>
      </c>
      <c r="C76" s="106">
        <v>19</v>
      </c>
      <c r="D76" s="106">
        <v>12</v>
      </c>
      <c r="E76" s="106">
        <v>8</v>
      </c>
    </row>
    <row r="77" spans="2:5">
      <c r="B77" s="105" t="s">
        <v>409</v>
      </c>
      <c r="C77" s="106">
        <v>24</v>
      </c>
      <c r="D77" s="106">
        <v>8</v>
      </c>
      <c r="E77" s="106">
        <v>6</v>
      </c>
    </row>
    <row r="78" spans="2:5">
      <c r="B78" s="105" t="s">
        <v>410</v>
      </c>
      <c r="C78" s="106">
        <v>21</v>
      </c>
      <c r="D78" s="106">
        <v>7</v>
      </c>
      <c r="E78" s="106">
        <v>11</v>
      </c>
    </row>
    <row r="79" spans="2:5">
      <c r="B79" s="105" t="s">
        <v>413</v>
      </c>
      <c r="C79" s="106">
        <v>24</v>
      </c>
      <c r="D79" s="106">
        <v>8</v>
      </c>
      <c r="E79" s="106">
        <v>6</v>
      </c>
    </row>
    <row r="80" spans="2:5">
      <c r="B80" s="105" t="s">
        <v>409</v>
      </c>
      <c r="C80" s="106">
        <v>9</v>
      </c>
      <c r="D80" s="106">
        <v>19</v>
      </c>
      <c r="E80" s="106">
        <v>4</v>
      </c>
    </row>
    <row r="81" spans="2:5">
      <c r="B81" s="105" t="s">
        <v>410</v>
      </c>
      <c r="C81" s="106">
        <v>23</v>
      </c>
      <c r="D81" s="106">
        <v>13</v>
      </c>
      <c r="E81" s="106">
        <v>8</v>
      </c>
    </row>
    <row r="82" spans="2:5">
      <c r="B82" s="105" t="s">
        <v>411</v>
      </c>
      <c r="C82" s="106">
        <v>19</v>
      </c>
      <c r="D82" s="106">
        <v>8</v>
      </c>
      <c r="E82" s="106">
        <v>15</v>
      </c>
    </row>
    <row r="83" spans="2:5">
      <c r="B83" s="105" t="s">
        <v>409</v>
      </c>
      <c r="C83" s="106">
        <v>13</v>
      </c>
      <c r="D83" s="106">
        <v>14</v>
      </c>
      <c r="E83" s="106">
        <v>6</v>
      </c>
    </row>
    <row r="84" spans="2:5">
      <c r="B84" s="105" t="s">
        <v>408</v>
      </c>
      <c r="C84" s="106">
        <v>8</v>
      </c>
      <c r="D84" s="106">
        <v>6</v>
      </c>
      <c r="E84" s="106">
        <v>6</v>
      </c>
    </row>
    <row r="85" spans="2:5">
      <c r="B85" s="105" t="s">
        <v>412</v>
      </c>
      <c r="C85" s="106">
        <v>14</v>
      </c>
      <c r="D85" s="106">
        <v>6</v>
      </c>
      <c r="E85" s="106">
        <v>4</v>
      </c>
    </row>
    <row r="86" spans="2:5">
      <c r="B86" s="105" t="s">
        <v>408</v>
      </c>
      <c r="C86" s="106">
        <v>10</v>
      </c>
      <c r="D86" s="106">
        <v>4</v>
      </c>
      <c r="E86" s="106">
        <v>8</v>
      </c>
    </row>
    <row r="87" spans="2:5">
      <c r="B87" s="105" t="s">
        <v>411</v>
      </c>
      <c r="C87" s="106">
        <v>12</v>
      </c>
      <c r="D87" s="106">
        <v>8</v>
      </c>
      <c r="E87" s="106">
        <v>12</v>
      </c>
    </row>
    <row r="88" spans="2:5">
      <c r="B88" s="105" t="s">
        <v>410</v>
      </c>
      <c r="C88" s="106">
        <v>19</v>
      </c>
      <c r="D88" s="106">
        <v>12</v>
      </c>
      <c r="E88" s="106">
        <v>8</v>
      </c>
    </row>
    <row r="89" spans="2:5">
      <c r="B89" s="105" t="s">
        <v>409</v>
      </c>
      <c r="C89" s="106">
        <v>24</v>
      </c>
      <c r="D89" s="106">
        <v>8</v>
      </c>
      <c r="E89" s="106">
        <v>6</v>
      </c>
    </row>
    <row r="90" spans="2:5">
      <c r="B90" s="105" t="s">
        <v>410</v>
      </c>
      <c r="C90" s="106">
        <v>21</v>
      </c>
      <c r="D90" s="106">
        <v>7</v>
      </c>
      <c r="E90" s="106">
        <v>11</v>
      </c>
    </row>
    <row r="91" spans="2:5">
      <c r="B91" s="105" t="s">
        <v>413</v>
      </c>
      <c r="C91" s="106">
        <v>24</v>
      </c>
      <c r="D91" s="106">
        <v>8</v>
      </c>
      <c r="E91" s="106">
        <v>6</v>
      </c>
    </row>
    <row r="92" spans="2:5">
      <c r="B92" s="105" t="s">
        <v>409</v>
      </c>
      <c r="C92" s="106">
        <v>9</v>
      </c>
      <c r="D92" s="106">
        <v>19</v>
      </c>
      <c r="E92" s="106">
        <v>4</v>
      </c>
    </row>
    <row r="93" spans="2:5">
      <c r="B93" s="105" t="s">
        <v>410</v>
      </c>
      <c r="C93" s="106">
        <v>23</v>
      </c>
      <c r="D93" s="106">
        <v>13</v>
      </c>
      <c r="E93" s="106">
        <v>8</v>
      </c>
    </row>
    <row r="94" spans="2:5">
      <c r="B94" s="105" t="s">
        <v>411</v>
      </c>
      <c r="C94" s="106">
        <v>19</v>
      </c>
      <c r="D94" s="106">
        <v>8</v>
      </c>
      <c r="E94" s="106">
        <v>15</v>
      </c>
    </row>
    <row r="95" spans="2:5">
      <c r="B95" s="105" t="s">
        <v>409</v>
      </c>
      <c r="C95" s="106">
        <v>13</v>
      </c>
      <c r="D95" s="106">
        <v>14</v>
      </c>
      <c r="E95" s="106">
        <v>6</v>
      </c>
    </row>
    <row r="96" spans="2:5">
      <c r="B96" s="105" t="s">
        <v>408</v>
      </c>
      <c r="C96" s="106">
        <v>8</v>
      </c>
      <c r="D96" s="106">
        <v>6</v>
      </c>
      <c r="E96" s="106">
        <v>6</v>
      </c>
    </row>
    <row r="97" spans="2:5">
      <c r="B97" s="105" t="s">
        <v>412</v>
      </c>
      <c r="C97" s="106">
        <v>14</v>
      </c>
      <c r="D97" s="106">
        <v>6</v>
      </c>
      <c r="E97" s="106">
        <v>4</v>
      </c>
    </row>
    <row r="98" spans="2:5">
      <c r="B98" s="105" t="s">
        <v>408</v>
      </c>
      <c r="C98" s="106">
        <v>10</v>
      </c>
      <c r="D98" s="106">
        <v>4</v>
      </c>
      <c r="E98" s="106">
        <v>8</v>
      </c>
    </row>
    <row r="99" spans="2:5">
      <c r="B99" s="105" t="s">
        <v>411</v>
      </c>
      <c r="C99" s="106">
        <v>12</v>
      </c>
      <c r="D99" s="106">
        <v>8</v>
      </c>
      <c r="E99" s="106">
        <v>12</v>
      </c>
    </row>
    <row r="100" spans="2:5">
      <c r="B100" s="105" t="s">
        <v>410</v>
      </c>
      <c r="C100" s="106">
        <v>19</v>
      </c>
      <c r="D100" s="106">
        <v>12</v>
      </c>
      <c r="E100" s="106">
        <v>8</v>
      </c>
    </row>
  </sheetData>
  <mergeCells count="1">
    <mergeCell ref="B2:E2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35"/>
  <sheetViews>
    <sheetView topLeftCell="A21" zoomScaleNormal="100" workbookViewId="0">
      <selection activeCell="L31" sqref="L31"/>
    </sheetView>
  </sheetViews>
  <sheetFormatPr defaultRowHeight="16.5"/>
  <cols>
    <col min="2" max="2" width="15.25" customWidth="1"/>
  </cols>
  <sheetData>
    <row r="2" spans="2:5">
      <c r="B2" s="28" t="s">
        <v>154</v>
      </c>
      <c r="C2" s="28"/>
      <c r="D2" s="28"/>
      <c r="E2" s="28"/>
    </row>
    <row r="3" spans="2:5">
      <c r="B3" s="29" t="s">
        <v>155</v>
      </c>
      <c r="C3" s="29" t="s">
        <v>156</v>
      </c>
      <c r="D3" s="29" t="s">
        <v>157</v>
      </c>
      <c r="E3" s="29" t="s">
        <v>158</v>
      </c>
    </row>
    <row r="4" spans="2:5">
      <c r="B4" s="29" t="s">
        <v>159</v>
      </c>
      <c r="C4" s="29">
        <v>150</v>
      </c>
      <c r="D4" s="29">
        <v>250</v>
      </c>
      <c r="E4" s="29">
        <v>1350</v>
      </c>
    </row>
    <row r="5" spans="2:5">
      <c r="B5" s="29" t="s">
        <v>160</v>
      </c>
      <c r="C5" s="29">
        <v>230</v>
      </c>
      <c r="D5" s="29">
        <v>150</v>
      </c>
      <c r="E5" s="29">
        <v>450</v>
      </c>
    </row>
    <row r="6" spans="2:5">
      <c r="B6" s="29" t="s">
        <v>161</v>
      </c>
      <c r="C6" s="29">
        <v>533</v>
      </c>
      <c r="D6" s="29">
        <v>514</v>
      </c>
      <c r="E6" s="29">
        <v>1000</v>
      </c>
    </row>
    <row r="7" spans="2:5">
      <c r="B7" s="29" t="s">
        <v>162</v>
      </c>
      <c r="C7" s="29">
        <v>512</v>
      </c>
      <c r="D7" s="29">
        <v>258</v>
      </c>
      <c r="E7" s="29">
        <v>1200</v>
      </c>
    </row>
    <row r="8" spans="2:5">
      <c r="B8" s="29" t="s">
        <v>163</v>
      </c>
      <c r="C8" s="29">
        <v>542</v>
      </c>
      <c r="D8" s="29">
        <v>521</v>
      </c>
      <c r="E8" s="29">
        <v>950</v>
      </c>
    </row>
    <row r="9" spans="2:5">
      <c r="B9" s="29" t="s">
        <v>164</v>
      </c>
      <c r="C9" s="29">
        <v>123</v>
      </c>
      <c r="D9" s="29">
        <v>845</v>
      </c>
      <c r="E9" s="29">
        <v>450</v>
      </c>
    </row>
    <row r="11" spans="2:5">
      <c r="B11" s="30" t="s">
        <v>165</v>
      </c>
    </row>
    <row r="35" spans="2:2">
      <c r="B35" t="s">
        <v>166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E31"/>
  <sheetViews>
    <sheetView workbookViewId="0">
      <selection activeCell="O26" sqref="O26"/>
    </sheetView>
  </sheetViews>
  <sheetFormatPr defaultRowHeight="16.5"/>
  <cols>
    <col min="5" max="5" width="9.25" bestFit="1" customWidth="1"/>
  </cols>
  <sheetData>
    <row r="1" spans="2:5">
      <c r="B1" t="s">
        <v>126</v>
      </c>
    </row>
    <row r="2" spans="2:5">
      <c r="B2" s="22" t="s">
        <v>60</v>
      </c>
      <c r="C2" s="22" t="s">
        <v>35</v>
      </c>
      <c r="D2" s="23" t="s">
        <v>127</v>
      </c>
      <c r="E2" s="24" t="s">
        <v>128</v>
      </c>
    </row>
    <row r="3" spans="2:5">
      <c r="B3" s="25" t="s">
        <v>39</v>
      </c>
      <c r="C3" s="25" t="s">
        <v>40</v>
      </c>
      <c r="D3" s="23" t="s">
        <v>129</v>
      </c>
      <c r="E3" s="26">
        <v>2123</v>
      </c>
    </row>
    <row r="4" spans="2:5">
      <c r="B4" s="25" t="s">
        <v>41</v>
      </c>
      <c r="C4" s="25" t="s">
        <v>42</v>
      </c>
      <c r="D4" s="23" t="s">
        <v>130</v>
      </c>
      <c r="E4" s="26">
        <v>547</v>
      </c>
    </row>
    <row r="5" spans="2:5">
      <c r="B5" s="25" t="s">
        <v>43</v>
      </c>
      <c r="C5" s="25" t="s">
        <v>44</v>
      </c>
      <c r="D5" s="23" t="s">
        <v>131</v>
      </c>
      <c r="E5" s="26">
        <v>3412</v>
      </c>
    </row>
    <row r="6" spans="2:5">
      <c r="B6" s="25" t="s">
        <v>45</v>
      </c>
      <c r="C6" s="25" t="s">
        <v>46</v>
      </c>
      <c r="D6" s="23" t="s">
        <v>132</v>
      </c>
      <c r="E6" s="26">
        <v>2145</v>
      </c>
    </row>
    <row r="7" spans="2:5">
      <c r="B7" s="25" t="s">
        <v>47</v>
      </c>
      <c r="C7" s="25" t="s">
        <v>48</v>
      </c>
      <c r="D7" s="23" t="s">
        <v>133</v>
      </c>
      <c r="E7" s="26">
        <v>102</v>
      </c>
    </row>
    <row r="8" spans="2:5">
      <c r="B8" s="25" t="s">
        <v>49</v>
      </c>
      <c r="C8" s="25" t="s">
        <v>50</v>
      </c>
      <c r="D8" s="23" t="s">
        <v>134</v>
      </c>
      <c r="E8" s="26">
        <v>904</v>
      </c>
    </row>
    <row r="9" spans="2:5">
      <c r="B9" s="25" t="s">
        <v>51</v>
      </c>
      <c r="C9" s="25" t="s">
        <v>52</v>
      </c>
      <c r="D9" s="23" t="s">
        <v>129</v>
      </c>
      <c r="E9" s="26">
        <v>4541</v>
      </c>
    </row>
    <row r="10" spans="2:5">
      <c r="B10" s="25" t="s">
        <v>53</v>
      </c>
      <c r="C10" s="25" t="s">
        <v>54</v>
      </c>
      <c r="D10" s="23" t="s">
        <v>130</v>
      </c>
      <c r="E10" s="26">
        <v>12</v>
      </c>
    </row>
    <row r="11" spans="2:5">
      <c r="B11" s="25" t="s">
        <v>55</v>
      </c>
      <c r="C11" s="25" t="s">
        <v>56</v>
      </c>
      <c r="D11" s="23" t="s">
        <v>131</v>
      </c>
      <c r="E11" s="26">
        <v>7</v>
      </c>
    </row>
    <row r="12" spans="2:5">
      <c r="B12" s="25" t="s">
        <v>57</v>
      </c>
      <c r="C12" s="25" t="s">
        <v>58</v>
      </c>
      <c r="D12" s="23" t="s">
        <v>132</v>
      </c>
      <c r="E12" s="26">
        <v>4567</v>
      </c>
    </row>
    <row r="20" spans="2:5">
      <c r="B20" t="s">
        <v>135</v>
      </c>
    </row>
    <row r="21" spans="2:5">
      <c r="B21" s="23" t="s">
        <v>136</v>
      </c>
      <c r="C21" s="23" t="s">
        <v>137</v>
      </c>
      <c r="D21" s="23" t="s">
        <v>138</v>
      </c>
      <c r="E21" s="24" t="s">
        <v>139</v>
      </c>
    </row>
    <row r="22" spans="2:5">
      <c r="B22" s="9" t="s">
        <v>140</v>
      </c>
      <c r="C22" s="9">
        <v>401</v>
      </c>
      <c r="D22" s="9" t="s">
        <v>141</v>
      </c>
      <c r="E22" s="27">
        <v>55</v>
      </c>
    </row>
    <row r="23" spans="2:5">
      <c r="B23" s="9" t="s">
        <v>67</v>
      </c>
      <c r="C23" s="9">
        <v>402</v>
      </c>
      <c r="D23" s="9" t="s">
        <v>142</v>
      </c>
      <c r="E23" s="27">
        <v>50</v>
      </c>
    </row>
    <row r="24" spans="2:5">
      <c r="B24" s="9" t="s">
        <v>71</v>
      </c>
      <c r="C24" s="9">
        <v>403</v>
      </c>
      <c r="D24" s="9" t="s">
        <v>143</v>
      </c>
      <c r="E24" s="27">
        <v>49</v>
      </c>
    </row>
    <row r="25" spans="2:5">
      <c r="B25" s="9" t="s">
        <v>75</v>
      </c>
      <c r="C25" s="9">
        <v>404</v>
      </c>
      <c r="D25" s="9" t="s">
        <v>144</v>
      </c>
      <c r="E25" s="27">
        <v>40</v>
      </c>
    </row>
    <row r="26" spans="2:5">
      <c r="B26" s="9" t="s">
        <v>79</v>
      </c>
      <c r="C26" s="9">
        <v>405</v>
      </c>
      <c r="D26" s="9" t="s">
        <v>145</v>
      </c>
      <c r="E26" s="27">
        <v>0</v>
      </c>
    </row>
    <row r="27" spans="2:5">
      <c r="B27" s="9" t="s">
        <v>83</v>
      </c>
      <c r="C27" s="9">
        <v>406</v>
      </c>
      <c r="D27" s="9" t="s">
        <v>146</v>
      </c>
      <c r="E27" s="27">
        <v>-10</v>
      </c>
    </row>
    <row r="28" spans="2:5">
      <c r="B28" s="9" t="s">
        <v>87</v>
      </c>
      <c r="C28" s="9">
        <v>407</v>
      </c>
      <c r="D28" s="9" t="s">
        <v>147</v>
      </c>
      <c r="E28" s="27">
        <v>30</v>
      </c>
    </row>
    <row r="29" spans="2:5">
      <c r="B29" s="9" t="s">
        <v>91</v>
      </c>
      <c r="C29" s="9">
        <v>408</v>
      </c>
      <c r="D29" s="9" t="s">
        <v>148</v>
      </c>
      <c r="E29" s="27" t="s">
        <v>149</v>
      </c>
    </row>
    <row r="30" spans="2:5">
      <c r="B30" s="9" t="s">
        <v>95</v>
      </c>
      <c r="C30" s="9">
        <v>409</v>
      </c>
      <c r="D30" s="9" t="s">
        <v>150</v>
      </c>
      <c r="E30" s="27">
        <v>60</v>
      </c>
    </row>
    <row r="31" spans="2:5">
      <c r="B31" s="9" t="s">
        <v>151</v>
      </c>
      <c r="C31" s="9">
        <v>410</v>
      </c>
      <c r="D31" s="9" t="s">
        <v>152</v>
      </c>
      <c r="E31" s="27" t="s">
        <v>153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동호수표시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B1:L20"/>
  <sheetViews>
    <sheetView workbookViewId="0">
      <selection activeCell="K17" sqref="K17"/>
    </sheetView>
  </sheetViews>
  <sheetFormatPr defaultRowHeight="16.5"/>
  <cols>
    <col min="1" max="1" width="2.75" customWidth="1"/>
    <col min="2" max="2" width="9.625" customWidth="1"/>
    <col min="3" max="3" width="19.625" style="7" bestFit="1" customWidth="1"/>
    <col min="4" max="4" width="13.125" style="7" customWidth="1"/>
    <col min="5" max="5" width="15" style="7" customWidth="1"/>
    <col min="6" max="6" width="9.125" customWidth="1"/>
    <col min="7" max="7" width="14.625" customWidth="1"/>
    <col min="8" max="8" width="4.375" customWidth="1"/>
    <col min="9" max="9" width="6.375" customWidth="1"/>
    <col min="10" max="10" width="4" customWidth="1"/>
    <col min="11" max="11" width="4.125" customWidth="1"/>
    <col min="12" max="12" width="15.25" customWidth="1"/>
    <col min="13" max="13" width="16.125" customWidth="1"/>
  </cols>
  <sheetData>
    <row r="1" spans="2:12">
      <c r="E1"/>
    </row>
    <row r="2" spans="2:12">
      <c r="E2"/>
    </row>
    <row r="3" spans="2:12">
      <c r="B3" s="94" t="s">
        <v>126</v>
      </c>
      <c r="F3" t="s">
        <v>394</v>
      </c>
      <c r="G3" s="87">
        <v>43840</v>
      </c>
    </row>
    <row r="4" spans="2:12">
      <c r="C4" s="95"/>
      <c r="D4" s="95"/>
      <c r="E4" s="95"/>
      <c r="L4" t="s">
        <v>395</v>
      </c>
    </row>
    <row r="5" spans="2:12">
      <c r="B5" s="47" t="s">
        <v>104</v>
      </c>
      <c r="C5" s="91" t="s">
        <v>396</v>
      </c>
      <c r="D5" s="47" t="s">
        <v>397</v>
      </c>
      <c r="E5" s="91" t="s">
        <v>398</v>
      </c>
      <c r="F5" s="47" t="s">
        <v>399</v>
      </c>
      <c r="G5" s="44" t="s">
        <v>400</v>
      </c>
      <c r="L5" s="23" t="s">
        <v>397</v>
      </c>
    </row>
    <row r="6" spans="2:12">
      <c r="B6" s="47"/>
      <c r="C6" s="96"/>
      <c r="D6" s="97"/>
      <c r="E6" s="98"/>
      <c r="F6" s="99"/>
      <c r="G6" s="23"/>
      <c r="L6" s="100">
        <v>50000000</v>
      </c>
    </row>
    <row r="7" spans="2:12">
      <c r="B7" s="47"/>
      <c r="C7" s="91"/>
      <c r="D7" s="97"/>
      <c r="E7" s="98"/>
      <c r="F7" s="99"/>
      <c r="G7" s="23"/>
      <c r="I7" s="103"/>
      <c r="L7" s="100">
        <v>40000000</v>
      </c>
    </row>
    <row r="8" spans="2:12">
      <c r="B8" s="47"/>
      <c r="C8" s="96"/>
      <c r="D8" s="91"/>
      <c r="E8" s="98"/>
      <c r="F8" s="99"/>
      <c r="G8" s="23"/>
      <c r="L8" s="100">
        <v>30000000</v>
      </c>
    </row>
    <row r="9" spans="2:12">
      <c r="B9" s="47"/>
      <c r="C9" s="96"/>
      <c r="D9" s="47"/>
      <c r="E9" s="98"/>
      <c r="F9" s="99"/>
      <c r="G9" s="23"/>
      <c r="L9" s="100">
        <v>20000000</v>
      </c>
    </row>
    <row r="10" spans="2:12">
      <c r="B10" s="47"/>
      <c r="C10" s="96"/>
      <c r="D10" s="47"/>
      <c r="E10" s="98"/>
      <c r="F10" s="99"/>
      <c r="G10" s="23"/>
    </row>
    <row r="11" spans="2:12">
      <c r="B11" s="47"/>
      <c r="C11" s="96"/>
      <c r="D11" s="47"/>
      <c r="E11" s="98"/>
      <c r="F11" s="99"/>
      <c r="G11" s="23"/>
    </row>
    <row r="12" spans="2:12">
      <c r="B12" s="47"/>
      <c r="C12" s="96"/>
      <c r="D12" s="47"/>
      <c r="E12" s="98"/>
      <c r="F12" s="99"/>
      <c r="G12" s="23"/>
    </row>
    <row r="13" spans="2:12">
      <c r="B13" s="23"/>
      <c r="C13" s="101"/>
      <c r="D13" s="91"/>
      <c r="E13" s="23"/>
      <c r="F13" s="99"/>
      <c r="G13" s="23"/>
    </row>
    <row r="14" spans="2:12">
      <c r="B14" s="23"/>
      <c r="C14" s="101"/>
      <c r="D14" s="91"/>
      <c r="E14" s="23"/>
      <c r="F14" s="99"/>
      <c r="G14" s="23"/>
    </row>
    <row r="15" spans="2:12">
      <c r="B15" s="23"/>
      <c r="C15" s="101"/>
      <c r="D15" s="91"/>
      <c r="E15" s="23"/>
      <c r="F15" s="99"/>
      <c r="G15" s="23"/>
    </row>
    <row r="16" spans="2:12">
      <c r="B16" s="23"/>
      <c r="C16" s="101"/>
      <c r="D16" s="91"/>
      <c r="E16" s="23"/>
      <c r="F16" s="99"/>
      <c r="G16" s="23"/>
    </row>
    <row r="17" spans="2:7">
      <c r="B17" s="23"/>
      <c r="C17" s="101"/>
      <c r="D17" s="91"/>
      <c r="E17" s="23"/>
      <c r="F17" s="99"/>
      <c r="G17" s="23"/>
    </row>
    <row r="18" spans="2:7">
      <c r="C18" s="102"/>
      <c r="E18"/>
    </row>
    <row r="19" spans="2:7">
      <c r="C19" s="102"/>
      <c r="E19"/>
    </row>
    <row r="20" spans="2:7" ht="19.5">
      <c r="B20" t="s">
        <v>401</v>
      </c>
      <c r="C20" s="104">
        <v>44246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md자료입력">
          <controlPr defaultSize="0" autoLine="0" autoPict="0" r:id="rId5">
            <anchor moveWithCells="1">
              <from>
                <xdr:col>11</xdr:col>
                <xdr:colOff>161925</xdr:colOff>
                <xdr:row>10</xdr:row>
                <xdr:rowOff>123825</xdr:rowOff>
              </from>
              <to>
                <xdr:col>12</xdr:col>
                <xdr:colOff>257175</xdr:colOff>
                <xdr:row>13</xdr:row>
                <xdr:rowOff>76200</xdr:rowOff>
              </to>
            </anchor>
          </controlPr>
        </control>
      </mc:Choice>
      <mc:Fallback>
        <control shapeId="4097" r:id="rId4" name="Cmd자료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이름이 지정된 범위</vt:lpstr>
      </vt:variant>
      <vt:variant>
        <vt:i4>6</vt:i4>
      </vt:variant>
    </vt:vector>
  </HeadingPairs>
  <TitlesOfParts>
    <vt:vector size="18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김포대리점</vt:lpstr>
      <vt:lpstr>인천대리점</vt:lpstr>
      <vt:lpstr>기타작업-1</vt:lpstr>
      <vt:lpstr>기타작업-2</vt:lpstr>
      <vt:lpstr>기타작업-3</vt:lpstr>
      <vt:lpstr>'기본작업-1'!Criteria</vt:lpstr>
      <vt:lpstr>'기본작업-3'!Criteria</vt:lpstr>
      <vt:lpstr>'기본작업-1'!Extract</vt:lpstr>
      <vt:lpstr>'기본작업-3'!Extract</vt:lpstr>
      <vt:lpstr>'기본작업-3'!Print_Area</vt:lpstr>
      <vt:lpstr>'기본작업-4'!Print_Area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2020-02-11T07:16:04Z</cp:lastPrinted>
  <dcterms:created xsi:type="dcterms:W3CDTF">2016-04-11T07:21:32Z</dcterms:created>
  <dcterms:modified xsi:type="dcterms:W3CDTF">2021-04-20T08:41:44Z</dcterms:modified>
</cp:coreProperties>
</file>