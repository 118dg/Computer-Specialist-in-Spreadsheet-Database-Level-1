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D:\업로드교재용\컴활1급실기 예제-21년 강의실용3\컴활1급실기 예제\4-특강(3단계)\03-시험직전모의고사 엑셀11\"/>
    </mc:Choice>
  </mc:AlternateContent>
  <bookViews>
    <workbookView showVerticalScroll="0" xWindow="0" yWindow="0" windowWidth="11970" windowHeight="4350" tabRatio="429" firstSheet="1" activeTab="2"/>
  </bookViews>
  <sheets>
    <sheet name="기본작업-1" sheetId="2" r:id="rId1"/>
    <sheet name="기본작업-2" sheetId="9" r:id="rId2"/>
    <sheet name="기본작업-3" sheetId="19" r:id="rId3"/>
    <sheet name="계산작업" sheetId="3" r:id="rId4"/>
    <sheet name="계약회원" sheetId="12" r:id="rId5"/>
    <sheet name="분석작업-1" sheetId="18" r:id="rId6"/>
    <sheet name="분석작업-2" sheetId="5" r:id="rId7"/>
    <sheet name="시나리오 요약" sheetId="14" r:id="rId8"/>
    <sheet name="기타작업-1" sheetId="15" r:id="rId9"/>
    <sheet name="기타작업-2" sheetId="17" r:id="rId10"/>
    <sheet name="기타작업-3" sheetId="16" r:id="rId11"/>
  </sheets>
  <functionGroups builtInGroupCount="18"/>
  <definedNames>
    <definedName name="_xlnm._FilterDatabase" localSheetId="0" hidden="1">'기본작업-1'!$B$2:$F$49</definedName>
    <definedName name="_xlnm.Criteria" localSheetId="0">'기본작업-1'!$H$2:$I$3</definedName>
    <definedName name="_xlnm.Extract" localSheetId="0">'기본작업-1'!$H$7:$L$7</definedName>
    <definedName name="_xlnm.Print_Area" localSheetId="0">'기본작업-1'!$B$2:$C$22</definedName>
    <definedName name="_xlnm.Print_Area" localSheetId="1">'기본작업-2'!$B$3:$I$7,'기본작업-2'!$B$13:$I$17</definedName>
    <definedName name="_xlnm.Print_Titles" localSheetId="2">'기본작업-3'!$1:$3</definedName>
    <definedName name="판매가">'분석작업-2'!$G$4</definedName>
    <definedName name="판매수량">'분석작업-2'!$C$4</definedName>
  </definedNames>
  <calcPr calcId="162913"/>
  <pivotCaches>
    <pivotCache cacheId="0" r:id="rId12"/>
  </pivotCaches>
</workbook>
</file>

<file path=xl/calcChain.xml><?xml version="1.0" encoding="utf-8"?>
<calcChain xmlns="http://schemas.openxmlformats.org/spreadsheetml/2006/main">
  <c r="K3" i="2" l="1"/>
  <c r="I3" i="2"/>
  <c r="H3" i="2"/>
  <c r="F50" i="19" l="1"/>
  <c r="F49" i="19"/>
  <c r="F48" i="19"/>
  <c r="F47" i="19"/>
  <c r="F46" i="19"/>
  <c r="F45" i="19"/>
  <c r="F44" i="19"/>
  <c r="F43" i="19"/>
  <c r="F42" i="19"/>
  <c r="F41" i="19"/>
  <c r="F40" i="19"/>
  <c r="F39" i="19"/>
  <c r="F38" i="19"/>
  <c r="F37" i="19"/>
  <c r="F36" i="19"/>
  <c r="F35" i="19"/>
  <c r="F34" i="19"/>
  <c r="F33" i="19"/>
  <c r="F32" i="19"/>
  <c r="F31" i="19"/>
  <c r="F30" i="19"/>
  <c r="F29" i="19"/>
  <c r="F28" i="19"/>
  <c r="F27" i="19"/>
  <c r="F26" i="19"/>
  <c r="F25" i="19"/>
  <c r="F24" i="19"/>
  <c r="F23" i="19"/>
  <c r="F22" i="19"/>
  <c r="F21" i="19"/>
  <c r="F20" i="19"/>
  <c r="F19" i="19"/>
  <c r="F18" i="19"/>
  <c r="F17" i="19"/>
  <c r="F16" i="19"/>
  <c r="F15" i="19"/>
  <c r="F14" i="19"/>
  <c r="F13" i="19"/>
  <c r="F12" i="19"/>
  <c r="F11" i="19"/>
  <c r="F10" i="19"/>
  <c r="F9" i="19"/>
  <c r="F8" i="19"/>
  <c r="F7" i="19"/>
  <c r="F6" i="19"/>
  <c r="F5" i="19"/>
  <c r="F4" i="19"/>
  <c r="I71" i="3" l="1" a="1"/>
  <c r="I71" i="3" s="1"/>
  <c r="J71" i="3" a="1"/>
  <c r="J71" i="3" s="1"/>
  <c r="K71" i="3" a="1"/>
  <c r="K71" i="3" s="1"/>
  <c r="I72" i="3" a="1"/>
  <c r="I72" i="3" s="1"/>
  <c r="J72" i="3" a="1"/>
  <c r="J72" i="3" s="1"/>
  <c r="K72" i="3" a="1"/>
  <c r="K72" i="3" s="1"/>
  <c r="I73" i="3" a="1"/>
  <c r="I73" i="3" s="1"/>
  <c r="J73" i="3" a="1"/>
  <c r="J73" i="3" s="1"/>
  <c r="J10" i="15" l="1"/>
  <c r="E10" i="15"/>
  <c r="J9" i="15"/>
  <c r="E9" i="15"/>
  <c r="J5" i="15"/>
  <c r="E5" i="15"/>
  <c r="J4" i="15"/>
  <c r="E4" i="15"/>
  <c r="C6" i="5" l="1"/>
  <c r="C5" i="5"/>
  <c r="C10" i="5" s="1"/>
  <c r="C7" i="5" l="1"/>
  <c r="C11" i="5"/>
  <c r="C13" i="5"/>
  <c r="C12" i="5"/>
  <c r="I74" i="3" a="1"/>
  <c r="I74" i="3" s="1"/>
  <c r="K73" i="3" a="1"/>
  <c r="K73" i="3" s="1"/>
  <c r="J74" i="3" a="1"/>
  <c r="J74" i="3" s="1"/>
  <c r="K74" i="3" a="1"/>
  <c r="K74" i="3" s="1"/>
  <c r="H108" i="3"/>
  <c r="H111" i="3"/>
  <c r="H114" i="3"/>
  <c r="H116" i="3"/>
  <c r="H109" i="3"/>
  <c r="H107" i="3"/>
  <c r="H106" i="3"/>
  <c r="H104" i="3"/>
  <c r="H112" i="3"/>
  <c r="H103" i="3"/>
  <c r="H113" i="3"/>
  <c r="H105" i="3"/>
  <c r="H115" i="3"/>
  <c r="H102" i="3"/>
  <c r="H110" i="3"/>
  <c r="C9" i="5" l="1"/>
  <c r="C15" i="5" s="1"/>
  <c r="I65" i="3"/>
  <c r="J55" i="3"/>
  <c r="K55" i="3"/>
  <c r="J56" i="3"/>
  <c r="K56" i="3"/>
  <c r="J57" i="3"/>
  <c r="K57" i="3"/>
  <c r="I56" i="3"/>
  <c r="I57" i="3"/>
  <c r="I55" i="3"/>
  <c r="J51" i="3"/>
  <c r="K51" i="3"/>
  <c r="J52" i="3"/>
  <c r="K52" i="3"/>
  <c r="J53" i="3"/>
  <c r="K53" i="3"/>
  <c r="I52" i="3"/>
  <c r="I53" i="3"/>
  <c r="I51" i="3"/>
  <c r="J46" i="3"/>
  <c r="K46" i="3"/>
  <c r="J47" i="3"/>
  <c r="K47" i="3"/>
  <c r="J48" i="3"/>
  <c r="K48" i="3"/>
  <c r="I47" i="3"/>
  <c r="I48" i="3"/>
  <c r="I46" i="3"/>
  <c r="H23" i="3" l="1"/>
  <c r="H24" i="3"/>
  <c r="H25" i="3"/>
  <c r="H26" i="3"/>
  <c r="H27" i="3"/>
  <c r="H28" i="3"/>
  <c r="H29" i="3"/>
  <c r="H30" i="3"/>
  <c r="H31" i="3"/>
  <c r="H22" i="3"/>
  <c r="F23" i="3"/>
  <c r="F24" i="3"/>
  <c r="F25" i="3"/>
  <c r="F26" i="3"/>
  <c r="F27" i="3"/>
  <c r="F28" i="3"/>
  <c r="F29" i="3"/>
  <c r="F30" i="3"/>
  <c r="F31" i="3"/>
  <c r="F22" i="3"/>
  <c r="F5" i="3" l="1"/>
  <c r="F6" i="3"/>
  <c r="F7" i="3"/>
  <c r="F4" i="3"/>
  <c r="D5" i="3"/>
  <c r="D6" i="3"/>
  <c r="D7" i="3"/>
  <c r="D4" i="3"/>
  <c r="G49" i="9" l="1"/>
  <c r="G48" i="9"/>
  <c r="G47" i="9"/>
  <c r="G46" i="9"/>
  <c r="G45" i="9"/>
  <c r="G44" i="9"/>
  <c r="G43" i="9"/>
  <c r="G42" i="9"/>
  <c r="G41" i="9"/>
  <c r="G40" i="9"/>
  <c r="G39" i="9"/>
  <c r="G38" i="9"/>
  <c r="G37" i="9"/>
  <c r="G36" i="9"/>
  <c r="G35" i="9"/>
  <c r="G34" i="9"/>
  <c r="G33" i="9"/>
  <c r="G32" i="9"/>
  <c r="G31" i="9"/>
  <c r="G30" i="9"/>
  <c r="G29" i="9"/>
  <c r="G28" i="9"/>
  <c r="G27" i="9"/>
  <c r="G26" i="9"/>
  <c r="G25" i="9"/>
  <c r="G24" i="9"/>
  <c r="G23" i="9"/>
  <c r="G22" i="9"/>
  <c r="G21" i="9"/>
  <c r="G20" i="9"/>
  <c r="G19" i="9"/>
  <c r="G18" i="9"/>
  <c r="G17" i="9"/>
  <c r="G16" i="9"/>
  <c r="G15" i="9"/>
  <c r="G14" i="9"/>
  <c r="G13" i="9"/>
  <c r="G12" i="9"/>
  <c r="G11" i="9"/>
  <c r="G10" i="9"/>
  <c r="G9" i="9"/>
  <c r="G8" i="9"/>
  <c r="G7" i="9"/>
  <c r="G6" i="9"/>
  <c r="G5" i="9"/>
  <c r="G4" i="9"/>
  <c r="G3" i="9"/>
</calcChain>
</file>

<file path=xl/connections.xml><?xml version="1.0" encoding="utf-8"?>
<connections xmlns="http://schemas.openxmlformats.org/spreadsheetml/2006/main">
  <connection id="1" name="MS Access Database_Query" type="1" refreshedVersion="6">
    <dbPr connection="DSN=MS Access Database;DBQ=C:\oa\여행자료.accdb;DefaultDir=C:\oa;DriverId=25;FIL=MS Access;MaxBufferSize=2048;PageTimeout=5;" command="SELECT 여행계약자료.번호, 여행계약자료.여행출발날짜, 여행계약자료.여행지, 여행계약자료.고객명, 여행계약자료.금액, 여행계약자료.계약금, 여행계약자료.특이사항, 여행계약자료.구분_x000d__x000a_FROM `C:\oa\여행자료.accdb`.여행계약자료 여행계약자료"/>
  </connection>
</connections>
</file>

<file path=xl/sharedStrings.xml><?xml version="1.0" encoding="utf-8"?>
<sst xmlns="http://schemas.openxmlformats.org/spreadsheetml/2006/main" count="1177" uniqueCount="537">
  <si>
    <t>[표4]</t>
    <phoneticPr fontId="1" type="noConversion"/>
  </si>
  <si>
    <t>번호</t>
    <phoneticPr fontId="1" type="noConversion"/>
  </si>
  <si>
    <t>이름</t>
  </si>
  <si>
    <t>[표1]</t>
    <phoneticPr fontId="1" type="noConversion"/>
  </si>
  <si>
    <t>[표1-1]</t>
    <phoneticPr fontId="1" type="noConversion"/>
  </si>
  <si>
    <t>[표3]</t>
    <phoneticPr fontId="1" type="noConversion"/>
  </si>
  <si>
    <t>C</t>
  </si>
  <si>
    <t>BU6</t>
  </si>
  <si>
    <t>김태준</t>
  </si>
  <si>
    <t>B</t>
  </si>
  <si>
    <t>김원남</t>
  </si>
  <si>
    <t>D</t>
  </si>
  <si>
    <t>임종만</t>
  </si>
  <si>
    <t>BU1</t>
  </si>
  <si>
    <t>이은주</t>
  </si>
  <si>
    <t>A</t>
  </si>
  <si>
    <t>박철진</t>
  </si>
  <si>
    <t>채진욱</t>
  </si>
  <si>
    <t>안병찬</t>
  </si>
  <si>
    <t>F</t>
  </si>
  <si>
    <t>송민희</t>
  </si>
  <si>
    <t>박민선</t>
  </si>
  <si>
    <t>BU2</t>
  </si>
  <si>
    <t>성은희</t>
  </si>
  <si>
    <t>이영호</t>
  </si>
  <si>
    <t>이수영</t>
  </si>
  <si>
    <t>박형주</t>
  </si>
  <si>
    <t>김영철</t>
  </si>
  <si>
    <t>황민희</t>
  </si>
  <si>
    <t>이우현</t>
  </si>
  <si>
    <t>서옥윤</t>
  </si>
  <si>
    <t>안지연</t>
  </si>
  <si>
    <t>BU3</t>
  </si>
  <si>
    <t>정성기</t>
  </si>
  <si>
    <t>성지희</t>
  </si>
  <si>
    <t>송인영</t>
  </si>
  <si>
    <t>장태훈</t>
  </si>
  <si>
    <t>김현희</t>
  </si>
  <si>
    <t>양기식</t>
  </si>
  <si>
    <t>이시경</t>
  </si>
  <si>
    <t>양경민</t>
  </si>
  <si>
    <t>이상권</t>
  </si>
  <si>
    <t>BU4</t>
  </si>
  <si>
    <t>도우리</t>
  </si>
  <si>
    <t>최은실</t>
  </si>
  <si>
    <t>안규종</t>
  </si>
  <si>
    <t>김종성</t>
  </si>
  <si>
    <t>이부영</t>
  </si>
  <si>
    <t>오세웅</t>
  </si>
  <si>
    <t>김성진</t>
  </si>
  <si>
    <t>이재윤</t>
  </si>
  <si>
    <t>강원일</t>
  </si>
  <si>
    <t>황해룡</t>
  </si>
  <si>
    <t>이해규</t>
  </si>
  <si>
    <t>전병호</t>
  </si>
  <si>
    <t>이만열</t>
  </si>
  <si>
    <t>전규달</t>
  </si>
  <si>
    <t>오승실</t>
  </si>
  <si>
    <t>이훈섭</t>
  </si>
  <si>
    <t>서승남</t>
  </si>
  <si>
    <t>유재민</t>
  </si>
  <si>
    <t>김명수</t>
  </si>
  <si>
    <t>A-101</t>
    <phoneticPr fontId="1" type="noConversion"/>
  </si>
  <si>
    <t>A-102</t>
  </si>
  <si>
    <t>A-103</t>
  </si>
  <si>
    <t>A-104</t>
  </si>
  <si>
    <t>A-105</t>
  </si>
  <si>
    <t>A-106</t>
  </si>
  <si>
    <t>A-107</t>
  </si>
  <si>
    <t>A-108</t>
  </si>
  <si>
    <t>A-109</t>
  </si>
  <si>
    <t>A-110</t>
  </si>
  <si>
    <t>1번</t>
    <phoneticPr fontId="1" type="noConversion"/>
  </si>
  <si>
    <t>2번</t>
  </si>
  <si>
    <t>A10-S-02</t>
  </si>
  <si>
    <t>3번</t>
  </si>
  <si>
    <t>A10-S-03</t>
  </si>
  <si>
    <t>4번</t>
  </si>
  <si>
    <t>A10-S-04</t>
  </si>
  <si>
    <t>5번</t>
  </si>
  <si>
    <t>A10-S-05</t>
  </si>
  <si>
    <t>6번</t>
  </si>
  <si>
    <t>A10-S-06</t>
  </si>
  <si>
    <t>7번</t>
  </si>
  <si>
    <t>A10-S-07</t>
  </si>
  <si>
    <t>8번</t>
  </si>
  <si>
    <t>A10-S-08</t>
  </si>
  <si>
    <t>9번</t>
  </si>
  <si>
    <t>A10-S-09</t>
  </si>
  <si>
    <t>10번</t>
  </si>
  <si>
    <t>A10-S-10</t>
  </si>
  <si>
    <t>11번</t>
  </si>
  <si>
    <t>A10-S-11</t>
  </si>
  <si>
    <t>12번</t>
  </si>
  <si>
    <t>A10-S-12</t>
  </si>
  <si>
    <t>13번</t>
  </si>
  <si>
    <t>A10-S-13</t>
  </si>
  <si>
    <t>14번</t>
  </si>
  <si>
    <t>A10-S-14</t>
  </si>
  <si>
    <t>15번</t>
  </si>
  <si>
    <t>A10-S-15</t>
  </si>
  <si>
    <t>16번</t>
  </si>
  <si>
    <t>A10-S-16</t>
  </si>
  <si>
    <t>17번</t>
  </si>
  <si>
    <t>A10-S-17</t>
  </si>
  <si>
    <t>18번</t>
  </si>
  <si>
    <t>A10-S-18</t>
  </si>
  <si>
    <t>19번</t>
  </si>
  <si>
    <t>A10-S-19</t>
  </si>
  <si>
    <t>20번</t>
  </si>
  <si>
    <t>A10-S-20</t>
  </si>
  <si>
    <t>21번</t>
  </si>
  <si>
    <t>22번</t>
  </si>
  <si>
    <t>A10-K-02</t>
  </si>
  <si>
    <t>23번</t>
  </si>
  <si>
    <t>A10-K-03</t>
  </si>
  <si>
    <t>24번</t>
  </si>
  <si>
    <t>A10-K-04</t>
  </si>
  <si>
    <t>25번</t>
  </si>
  <si>
    <t>A10-K-05</t>
  </si>
  <si>
    <t>26번</t>
  </si>
  <si>
    <t>A10-K-06</t>
  </si>
  <si>
    <t>27번</t>
  </si>
  <si>
    <t>A10-K-07</t>
  </si>
  <si>
    <t>28번</t>
  </si>
  <si>
    <t>A10-K-08</t>
  </si>
  <si>
    <t>29번</t>
  </si>
  <si>
    <t>A10-K-09</t>
  </si>
  <si>
    <t>30번</t>
  </si>
  <si>
    <t>A10-K-10</t>
  </si>
  <si>
    <t>31번</t>
  </si>
  <si>
    <t>A10-K-11</t>
  </si>
  <si>
    <t>32번</t>
  </si>
  <si>
    <t>A10-K-12</t>
  </si>
  <si>
    <t>33번</t>
  </si>
  <si>
    <t>A10-K-13</t>
  </si>
  <si>
    <t>34번</t>
  </si>
  <si>
    <t>A10-K-14</t>
  </si>
  <si>
    <t>35번</t>
  </si>
  <si>
    <t>A10-K-15</t>
  </si>
  <si>
    <t>36번</t>
  </si>
  <si>
    <t>A10-K-16</t>
  </si>
  <si>
    <t>37번</t>
  </si>
  <si>
    <t>A10-K-17</t>
  </si>
  <si>
    <t>38번</t>
  </si>
  <si>
    <t>A10-K-18</t>
  </si>
  <si>
    <t>39번</t>
  </si>
  <si>
    <t>A10-K-19</t>
  </si>
  <si>
    <t>40번</t>
  </si>
  <si>
    <t>A10-K-20</t>
  </si>
  <si>
    <t>41번</t>
  </si>
  <si>
    <t>A10-K-21</t>
  </si>
  <si>
    <t>42번</t>
  </si>
  <si>
    <t>A10-K-22</t>
  </si>
  <si>
    <t>43번</t>
  </si>
  <si>
    <t>A10-K-23</t>
  </si>
  <si>
    <t>44번</t>
  </si>
  <si>
    <t>A10-K-24</t>
  </si>
  <si>
    <t>45번</t>
  </si>
  <si>
    <t>A10-K-25</t>
  </si>
  <si>
    <t>46번</t>
  </si>
  <si>
    <t>A10-K-26</t>
  </si>
  <si>
    <t>47번</t>
  </si>
  <si>
    <t>A10-K-27</t>
  </si>
  <si>
    <t>국어</t>
    <phoneticPr fontId="1" type="noConversion"/>
  </si>
  <si>
    <t>총계</t>
    <phoneticPr fontId="1" type="noConversion"/>
  </si>
  <si>
    <t>순번</t>
    <phoneticPr fontId="1" type="noConversion"/>
  </si>
  <si>
    <t>구분번호</t>
    <phoneticPr fontId="1" type="noConversion"/>
  </si>
  <si>
    <t>출발시간</t>
    <phoneticPr fontId="1" type="noConversion"/>
  </si>
  <si>
    <t>여행지 구분</t>
    <phoneticPr fontId="1" type="noConversion"/>
  </si>
  <si>
    <t>A10-S-01</t>
    <phoneticPr fontId="1" type="noConversion"/>
  </si>
  <si>
    <t>A10-K-01</t>
    <phoneticPr fontId="1" type="noConversion"/>
  </si>
  <si>
    <t>순번</t>
    <phoneticPr fontId="1" type="noConversion"/>
  </si>
  <si>
    <t>호수</t>
    <phoneticPr fontId="1" type="noConversion"/>
  </si>
  <si>
    <t>영어</t>
    <phoneticPr fontId="1" type="noConversion"/>
  </si>
  <si>
    <t>등급</t>
    <phoneticPr fontId="1" type="noConversion"/>
  </si>
  <si>
    <t>학생코드</t>
    <phoneticPr fontId="1" type="noConversion"/>
  </si>
  <si>
    <t>A01</t>
    <phoneticPr fontId="1" type="noConversion"/>
  </si>
  <si>
    <t>BU1</t>
    <phoneticPr fontId="1" type="noConversion"/>
  </si>
  <si>
    <t>A02</t>
  </si>
  <si>
    <t>A03</t>
  </si>
  <si>
    <t>A04</t>
  </si>
  <si>
    <t>A05</t>
  </si>
  <si>
    <t>A06</t>
  </si>
  <si>
    <t>A07</t>
  </si>
  <si>
    <t>A08</t>
  </si>
  <si>
    <t>A09</t>
  </si>
  <si>
    <t>A10</t>
  </si>
  <si>
    <t>A11</t>
  </si>
  <si>
    <t>A12</t>
  </si>
  <si>
    <t>A13</t>
  </si>
  <si>
    <t>A14</t>
  </si>
  <si>
    <t>A15</t>
  </si>
  <si>
    <t>A16</t>
  </si>
  <si>
    <t>A17</t>
  </si>
  <si>
    <t>A18</t>
  </si>
  <si>
    <t>A19</t>
  </si>
  <si>
    <t>A20</t>
  </si>
  <si>
    <t>A21</t>
  </si>
  <si>
    <t>A22</t>
  </si>
  <si>
    <t>A23</t>
  </si>
  <si>
    <t>A24</t>
  </si>
  <si>
    <t>A25</t>
  </si>
  <si>
    <t>A26</t>
  </si>
  <si>
    <t>A27</t>
  </si>
  <si>
    <t>A28</t>
  </si>
  <si>
    <t>A29</t>
  </si>
  <si>
    <t>A30</t>
  </si>
  <si>
    <t>A31</t>
  </si>
  <si>
    <t>A32</t>
  </si>
  <si>
    <t>A33</t>
  </si>
  <si>
    <t>A34</t>
  </si>
  <si>
    <t>A35</t>
  </si>
  <si>
    <t>A36</t>
  </si>
  <si>
    <t>A37</t>
  </si>
  <si>
    <t>A38</t>
  </si>
  <si>
    <t>A39</t>
  </si>
  <si>
    <t>A40</t>
  </si>
  <si>
    <t>A41</t>
  </si>
  <si>
    <t>A42</t>
  </si>
  <si>
    <t>A43</t>
  </si>
  <si>
    <t>A44</t>
  </si>
  <si>
    <t>A45</t>
  </si>
  <si>
    <t>A46</t>
  </si>
  <si>
    <t>A47</t>
  </si>
  <si>
    <t>그룹</t>
    <phoneticPr fontId="1" type="noConversion"/>
  </si>
  <si>
    <t>[표1-2]</t>
    <phoneticPr fontId="1" type="noConversion"/>
  </si>
  <si>
    <t>[표1-3]</t>
    <phoneticPr fontId="1" type="noConversion"/>
  </si>
  <si>
    <t>시작값</t>
    <phoneticPr fontId="2" type="noConversion"/>
  </si>
  <si>
    <t>끝값</t>
    <phoneticPr fontId="2" type="noConversion"/>
  </si>
  <si>
    <t>그룹구분</t>
    <phoneticPr fontId="2" type="noConversion"/>
  </si>
  <si>
    <t>끝값</t>
    <phoneticPr fontId="2" type="noConversion"/>
  </si>
  <si>
    <t>1그룹</t>
    <phoneticPr fontId="2" type="noConversion"/>
  </si>
  <si>
    <t>1그룹</t>
    <phoneticPr fontId="1" type="noConversion"/>
  </si>
  <si>
    <t>2그룹</t>
  </si>
  <si>
    <t>3그룹</t>
  </si>
  <si>
    <t>4그룹</t>
  </si>
  <si>
    <t>5그룹</t>
  </si>
  <si>
    <t>6그룹</t>
  </si>
  <si>
    <t>[표2-1]</t>
    <phoneticPr fontId="1" type="noConversion"/>
  </si>
  <si>
    <t>제품코드</t>
    <phoneticPr fontId="1" type="noConversion"/>
  </si>
  <si>
    <t>무게(kg)</t>
    <phoneticPr fontId="1" type="noConversion"/>
  </si>
  <si>
    <t>수량</t>
    <phoneticPr fontId="1" type="noConversion"/>
  </si>
  <si>
    <t>판매가격</t>
    <phoneticPr fontId="1" type="noConversion"/>
  </si>
  <si>
    <t>총 가격</t>
    <phoneticPr fontId="1" type="noConversion"/>
  </si>
  <si>
    <t>[표2-2]</t>
    <phoneticPr fontId="1" type="noConversion"/>
  </si>
  <si>
    <t>번호</t>
    <phoneticPr fontId="1" type="noConversion"/>
  </si>
  <si>
    <t>과목</t>
    <phoneticPr fontId="1" type="noConversion"/>
  </si>
  <si>
    <t>지역</t>
    <phoneticPr fontId="1" type="noConversion"/>
  </si>
  <si>
    <t>점수</t>
    <phoneticPr fontId="1" type="noConversion"/>
  </si>
  <si>
    <t>서울</t>
    <phoneticPr fontId="1" type="noConversion"/>
  </si>
  <si>
    <t>대전</t>
    <phoneticPr fontId="1" type="noConversion"/>
  </si>
  <si>
    <t>대전</t>
    <phoneticPr fontId="1" type="noConversion"/>
  </si>
  <si>
    <t>부산</t>
    <phoneticPr fontId="1" type="noConversion"/>
  </si>
  <si>
    <t>워드</t>
    <phoneticPr fontId="1" type="noConversion"/>
  </si>
  <si>
    <t>워드</t>
    <phoneticPr fontId="1" type="noConversion"/>
  </si>
  <si>
    <t>컴활</t>
    <phoneticPr fontId="1" type="noConversion"/>
  </si>
  <si>
    <t>서울</t>
    <phoneticPr fontId="1" type="noConversion"/>
  </si>
  <si>
    <t>컴활</t>
    <phoneticPr fontId="1" type="noConversion"/>
  </si>
  <si>
    <t>모스</t>
    <phoneticPr fontId="1" type="noConversion"/>
  </si>
  <si>
    <t>모스</t>
    <phoneticPr fontId="1" type="noConversion"/>
  </si>
  <si>
    <t>모스</t>
    <phoneticPr fontId="1" type="noConversion"/>
  </si>
  <si>
    <t>부산</t>
    <phoneticPr fontId="1" type="noConversion"/>
  </si>
  <si>
    <t>[표4-1]</t>
    <phoneticPr fontId="1" type="noConversion"/>
  </si>
  <si>
    <t>이름</t>
    <phoneticPr fontId="1" type="noConversion"/>
  </si>
  <si>
    <t>계절</t>
    <phoneticPr fontId="1" type="noConversion"/>
  </si>
  <si>
    <t>종류</t>
    <phoneticPr fontId="1" type="noConversion"/>
  </si>
  <si>
    <t>매출액</t>
    <phoneticPr fontId="1" type="noConversion"/>
  </si>
  <si>
    <t>man</t>
    <phoneticPr fontId="1" type="noConversion"/>
  </si>
  <si>
    <t>woman</t>
    <phoneticPr fontId="1" type="noConversion"/>
  </si>
  <si>
    <t>other</t>
    <phoneticPr fontId="1" type="noConversion"/>
  </si>
  <si>
    <t>other</t>
    <phoneticPr fontId="1" type="noConversion"/>
  </si>
  <si>
    <t>이나영</t>
    <phoneticPr fontId="2" type="noConversion"/>
  </si>
  <si>
    <t>봄</t>
    <phoneticPr fontId="1" type="noConversion"/>
  </si>
  <si>
    <t>man</t>
    <phoneticPr fontId="1" type="noConversion"/>
  </si>
  <si>
    <t>봄</t>
    <phoneticPr fontId="1" type="noConversion"/>
  </si>
  <si>
    <t>방극준</t>
    <phoneticPr fontId="2" type="noConversion"/>
  </si>
  <si>
    <t>여름</t>
    <phoneticPr fontId="1" type="noConversion"/>
  </si>
  <si>
    <t>이원섭</t>
    <phoneticPr fontId="2" type="noConversion"/>
  </si>
  <si>
    <t>가을</t>
    <phoneticPr fontId="1" type="noConversion"/>
  </si>
  <si>
    <t>가을</t>
    <phoneticPr fontId="1" type="noConversion"/>
  </si>
  <si>
    <t>정태은</t>
    <phoneticPr fontId="2" type="noConversion"/>
  </si>
  <si>
    <t>겨울</t>
    <phoneticPr fontId="1" type="noConversion"/>
  </si>
  <si>
    <t>겨울</t>
    <phoneticPr fontId="1" type="noConversion"/>
  </si>
  <si>
    <t>최재석</t>
    <phoneticPr fontId="2" type="noConversion"/>
  </si>
  <si>
    <t>봄</t>
    <phoneticPr fontId="1" type="noConversion"/>
  </si>
  <si>
    <t>최준기</t>
    <phoneticPr fontId="2" type="noConversion"/>
  </si>
  <si>
    <t>이원형</t>
    <phoneticPr fontId="2" type="noConversion"/>
  </si>
  <si>
    <t>man</t>
    <phoneticPr fontId="1" type="noConversion"/>
  </si>
  <si>
    <t>홍지원</t>
    <phoneticPr fontId="2" type="noConversion"/>
  </si>
  <si>
    <t>woman</t>
    <phoneticPr fontId="1" type="noConversion"/>
  </si>
  <si>
    <t>정은숙</t>
    <phoneticPr fontId="2" type="noConversion"/>
  </si>
  <si>
    <t>other</t>
    <phoneticPr fontId="1" type="noConversion"/>
  </si>
  <si>
    <t>김지영</t>
    <phoneticPr fontId="2" type="noConversion"/>
  </si>
  <si>
    <t>박영훈</t>
    <phoneticPr fontId="2" type="noConversion"/>
  </si>
  <si>
    <t>이준성</t>
    <phoneticPr fontId="2" type="noConversion"/>
  </si>
  <si>
    <t>전광일</t>
    <phoneticPr fontId="2" type="noConversion"/>
  </si>
  <si>
    <t>여름</t>
    <phoneticPr fontId="1" type="noConversion"/>
  </si>
  <si>
    <t>유제관</t>
    <phoneticPr fontId="2" type="noConversion"/>
  </si>
  <si>
    <t>김민영</t>
    <phoneticPr fontId="2" type="noConversion"/>
  </si>
  <si>
    <t>도경민</t>
    <phoneticPr fontId="2" type="noConversion"/>
  </si>
  <si>
    <t>인정제</t>
    <phoneticPr fontId="2" type="noConversion"/>
  </si>
  <si>
    <t>최대훈</t>
    <phoneticPr fontId="2" type="noConversion"/>
  </si>
  <si>
    <t>other</t>
    <phoneticPr fontId="1" type="noConversion"/>
  </si>
  <si>
    <t>윤여송</t>
    <phoneticPr fontId="2" type="noConversion"/>
  </si>
  <si>
    <t>유근선</t>
    <phoneticPr fontId="2" type="noConversion"/>
  </si>
  <si>
    <t>정환호</t>
    <phoneticPr fontId="2" type="noConversion"/>
  </si>
  <si>
    <t>겨울</t>
    <phoneticPr fontId="1" type="noConversion"/>
  </si>
  <si>
    <t>이응표</t>
    <phoneticPr fontId="2" type="noConversion"/>
  </si>
  <si>
    <t>이지수</t>
    <phoneticPr fontId="2" type="noConversion"/>
  </si>
  <si>
    <t>woman</t>
    <phoneticPr fontId="1" type="noConversion"/>
  </si>
  <si>
    <t>&lt;내림차순으로 출제될 때&gt;</t>
    <phoneticPr fontId="1" type="noConversion"/>
  </si>
  <si>
    <t>&lt;hlookup로 출제될 경우&gt;</t>
    <phoneticPr fontId="1" type="noConversion"/>
  </si>
  <si>
    <t>[표3-1]</t>
    <phoneticPr fontId="1" type="noConversion"/>
  </si>
  <si>
    <t>&lt;sumifs&gt;</t>
    <phoneticPr fontId="1" type="noConversion"/>
  </si>
  <si>
    <t>&lt;countifs&gt;</t>
    <phoneticPr fontId="1" type="noConversion"/>
  </si>
  <si>
    <t>&lt;표준편차&gt;</t>
    <phoneticPr fontId="1" type="noConversion"/>
  </si>
  <si>
    <t>[표5]</t>
    <phoneticPr fontId="1" type="noConversion"/>
  </si>
  <si>
    <t>번호</t>
    <phoneticPr fontId="9" type="noConversion"/>
  </si>
  <si>
    <t>동이름</t>
    <phoneticPr fontId="9" type="noConversion"/>
  </si>
  <si>
    <t>호수</t>
    <phoneticPr fontId="9" type="noConversion"/>
  </si>
  <si>
    <t>1차월세</t>
    <phoneticPr fontId="9" type="noConversion"/>
  </si>
  <si>
    <t>2차월세</t>
    <phoneticPr fontId="1" type="noConversion"/>
  </si>
  <si>
    <t>수수료</t>
    <phoneticPr fontId="9" type="noConversion"/>
  </si>
  <si>
    <t>추가금</t>
    <phoneticPr fontId="9" type="noConversion"/>
  </si>
  <si>
    <t>동백동</t>
  </si>
  <si>
    <t>1A-101</t>
    <phoneticPr fontId="9" type="noConversion"/>
  </si>
  <si>
    <t>1A-102</t>
  </si>
  <si>
    <t>1B-101</t>
    <phoneticPr fontId="9" type="noConversion"/>
  </si>
  <si>
    <t>1B-102</t>
  </si>
  <si>
    <t>1B-103</t>
  </si>
  <si>
    <t>목련동</t>
    <phoneticPr fontId="9" type="noConversion"/>
  </si>
  <si>
    <t>1A-101</t>
    <phoneticPr fontId="9" type="noConversion"/>
  </si>
  <si>
    <t>목련동</t>
    <phoneticPr fontId="9" type="noConversion"/>
  </si>
  <si>
    <t>나팔동</t>
  </si>
  <si>
    <t>1B-101</t>
    <phoneticPr fontId="9" type="noConversion"/>
  </si>
  <si>
    <t>번호</t>
  </si>
  <si>
    <t>여행출발날짜</t>
  </si>
  <si>
    <t>여행지</t>
  </si>
  <si>
    <t>고객명</t>
  </si>
  <si>
    <t>금액</t>
  </si>
  <si>
    <t>계약금</t>
  </si>
  <si>
    <t>특이사항</t>
  </si>
  <si>
    <t>구분</t>
    <phoneticPr fontId="1" type="noConversion"/>
  </si>
  <si>
    <t>일본</t>
  </si>
  <si>
    <t>신현학</t>
  </si>
  <si>
    <t>패키지 상품</t>
  </si>
  <si>
    <t>우수회원</t>
    <phoneticPr fontId="1" type="noConversion"/>
  </si>
  <si>
    <t>배영진</t>
  </si>
  <si>
    <t>정회원</t>
    <phoneticPr fontId="1" type="noConversion"/>
  </si>
  <si>
    <t>김진호</t>
  </si>
  <si>
    <t>항공비만 지급</t>
  </si>
  <si>
    <t>비회원</t>
    <phoneticPr fontId="1" type="noConversion"/>
  </si>
  <si>
    <t>양미라</t>
  </si>
  <si>
    <t>정경호</t>
  </si>
  <si>
    <t>사미자</t>
  </si>
  <si>
    <t/>
  </si>
  <si>
    <t>고아라</t>
  </si>
  <si>
    <t>중국</t>
  </si>
  <si>
    <t>김기범</t>
  </si>
  <si>
    <t>김희철</t>
  </si>
  <si>
    <t>정선희</t>
  </si>
  <si>
    <t>안승호</t>
  </si>
  <si>
    <t>안혜연</t>
  </si>
  <si>
    <t>이윤지</t>
  </si>
  <si>
    <t>봉태규</t>
  </si>
  <si>
    <t>박광식</t>
  </si>
  <si>
    <t>홍콩</t>
  </si>
  <si>
    <t>백선생</t>
  </si>
  <si>
    <t>배영일</t>
  </si>
  <si>
    <t>강남길</t>
  </si>
  <si>
    <t>김동완</t>
  </si>
  <si>
    <t>진태화</t>
  </si>
  <si>
    <t>전선화</t>
  </si>
  <si>
    <t>여현수</t>
  </si>
  <si>
    <t>김기덕</t>
  </si>
  <si>
    <t>미국</t>
  </si>
  <si>
    <t>최주봉</t>
  </si>
  <si>
    <t>김만수</t>
  </si>
  <si>
    <t>김민선</t>
  </si>
  <si>
    <t>공현주</t>
  </si>
  <si>
    <t>박지성</t>
  </si>
  <si>
    <t>안데니</t>
  </si>
  <si>
    <t>장우혁</t>
  </si>
  <si>
    <t>임창정</t>
  </si>
  <si>
    <t>(모두)</t>
  </si>
  <si>
    <t>비회원</t>
  </si>
  <si>
    <t>우수회원</t>
  </si>
  <si>
    <t>정회원</t>
  </si>
  <si>
    <t>총합계</t>
  </si>
  <si>
    <t>전체 평균 : 금액</t>
  </si>
  <si>
    <t>평균 : 금액</t>
  </si>
  <si>
    <t>전체 평균 : 계약금</t>
  </si>
  <si>
    <t>평균 : 계약금</t>
  </si>
  <si>
    <t>값</t>
  </si>
  <si>
    <t>구분</t>
  </si>
  <si>
    <t>계약회원</t>
  </si>
  <si>
    <t>1월</t>
  </si>
  <si>
    <t>2월</t>
  </si>
  <si>
    <t>7월</t>
  </si>
  <si>
    <t>계약회원 요약</t>
  </si>
  <si>
    <t>(공란)</t>
  </si>
  <si>
    <t>판매 현황 분석</t>
    <phoneticPr fontId="2" type="noConversion"/>
  </si>
  <si>
    <t>제품원가</t>
    <phoneticPr fontId="2" type="noConversion"/>
  </si>
  <si>
    <t>판매수량</t>
    <phoneticPr fontId="2" type="noConversion"/>
  </si>
  <si>
    <t>판매가</t>
    <phoneticPr fontId="2" type="noConversion"/>
  </si>
  <si>
    <t>매출액</t>
    <phoneticPr fontId="2" type="noConversion"/>
  </si>
  <si>
    <t>매출원가</t>
    <phoneticPr fontId="2" type="noConversion"/>
  </si>
  <si>
    <t>판매수익</t>
    <phoneticPr fontId="2" type="noConversion"/>
  </si>
  <si>
    <t>총비용</t>
    <phoneticPr fontId="2" type="noConversion"/>
  </si>
  <si>
    <t>인건비</t>
    <phoneticPr fontId="2" type="noConversion"/>
  </si>
  <si>
    <t>광고비</t>
    <phoneticPr fontId="2" type="noConversion"/>
  </si>
  <si>
    <t>일반관리비</t>
    <phoneticPr fontId="2" type="noConversion"/>
  </si>
  <si>
    <t>운송비</t>
    <phoneticPr fontId="2" type="noConversion"/>
  </si>
  <si>
    <t>영업이익</t>
    <phoneticPr fontId="2" type="noConversion"/>
  </si>
  <si>
    <t>판매수량</t>
  </si>
  <si>
    <t>판매가</t>
  </si>
  <si>
    <t>$C$15</t>
  </si>
  <si>
    <t>판매수량 증가</t>
  </si>
  <si>
    <t>만든 사람 icam 날짜 2020-04-20</t>
  </si>
  <si>
    <t>판매수량 감소</t>
  </si>
  <si>
    <t>시나리오 요약</t>
  </si>
  <si>
    <t>변경 셀:</t>
  </si>
  <si>
    <t>현재 값:</t>
  </si>
  <si>
    <t>결과 셀:</t>
  </si>
  <si>
    <t>참고: 현재 값 열은 시나리오 요약 보고서가 작성될 때의</t>
  </si>
  <si>
    <t>변경 셀 값을 나타냅니다. 각 시나리오의 변경 셀들은</t>
  </si>
  <si>
    <t>회색으로 표시됩니다.</t>
  </si>
  <si>
    <t>[표1] A지점 판매량</t>
    <phoneticPr fontId="1" type="noConversion"/>
  </si>
  <si>
    <t>[표2] B지점 판매량</t>
    <phoneticPr fontId="1" type="noConversion"/>
  </si>
  <si>
    <t>목표량</t>
    <phoneticPr fontId="1" type="noConversion"/>
  </si>
  <si>
    <t>판매수</t>
    <phoneticPr fontId="1" type="noConversion"/>
  </si>
  <si>
    <t>판매비율</t>
    <phoneticPr fontId="1" type="noConversion"/>
  </si>
  <si>
    <t>판매비율</t>
    <phoneticPr fontId="1" type="noConversion"/>
  </si>
  <si>
    <t>목표량</t>
    <phoneticPr fontId="1" type="noConversion"/>
  </si>
  <si>
    <t>메인보드</t>
    <phoneticPr fontId="2" type="noConversion"/>
  </si>
  <si>
    <r>
      <t>C</t>
    </r>
    <r>
      <rPr>
        <sz val="11"/>
        <color theme="1"/>
        <rFont val="맑은 고딕"/>
        <family val="2"/>
        <charset val="129"/>
        <scheme val="minor"/>
      </rPr>
      <t>D-ROM</t>
    </r>
    <phoneticPr fontId="2" type="noConversion"/>
  </si>
  <si>
    <t>CPU</t>
    <phoneticPr fontId="2" type="noConversion"/>
  </si>
  <si>
    <t>모니터</t>
    <phoneticPr fontId="2" type="noConversion"/>
  </si>
  <si>
    <t>[표3] C지점 판매량</t>
    <phoneticPr fontId="1" type="noConversion"/>
  </si>
  <si>
    <t>[표4] D지점 판매량</t>
    <phoneticPr fontId="1" type="noConversion"/>
  </si>
  <si>
    <t>종류</t>
    <phoneticPr fontId="1" type="noConversion"/>
  </si>
  <si>
    <t>종류</t>
    <phoneticPr fontId="1" type="noConversion"/>
  </si>
  <si>
    <t>프린터</t>
    <phoneticPr fontId="2" type="noConversion"/>
  </si>
  <si>
    <t>스피커</t>
    <phoneticPr fontId="1" type="noConversion"/>
  </si>
  <si>
    <t>사운드카드</t>
    <phoneticPr fontId="1" type="noConversion"/>
  </si>
  <si>
    <t>마우스</t>
    <phoneticPr fontId="1" type="noConversion"/>
  </si>
  <si>
    <t>[차트1]</t>
    <phoneticPr fontId="1" type="noConversion"/>
  </si>
  <si>
    <t>[표5]</t>
    <phoneticPr fontId="1" type="noConversion"/>
  </si>
  <si>
    <t>이름</t>
    <phoneticPr fontId="1" type="noConversion"/>
  </si>
  <si>
    <t>득표수</t>
    <phoneticPr fontId="1" type="noConversion"/>
  </si>
  <si>
    <t>홍길동</t>
  </si>
  <si>
    <t>이도현</t>
  </si>
  <si>
    <t>한미우</t>
  </si>
  <si>
    <t>박정진</t>
  </si>
  <si>
    <t>윤수진</t>
    <phoneticPr fontId="1" type="noConversion"/>
  </si>
  <si>
    <t>이연순</t>
    <phoneticPr fontId="1" type="noConversion"/>
  </si>
  <si>
    <t>최재석</t>
  </si>
  <si>
    <t>[차트2]</t>
    <phoneticPr fontId="1" type="noConversion"/>
  </si>
  <si>
    <t xml:space="preserve">[표2] </t>
    <phoneticPr fontId="1" type="noConversion"/>
  </si>
  <si>
    <t>수강일수</t>
    <phoneticPr fontId="1" type="noConversion"/>
  </si>
  <si>
    <t>성별</t>
    <phoneticPr fontId="1" type="noConversion"/>
  </si>
  <si>
    <t>오전/오후 구분</t>
    <phoneticPr fontId="1" type="noConversion"/>
  </si>
  <si>
    <t>강의명</t>
    <phoneticPr fontId="1" type="noConversion"/>
  </si>
  <si>
    <t>수강료</t>
    <phoneticPr fontId="1" type="noConversion"/>
  </si>
  <si>
    <t>지불금액</t>
    <phoneticPr fontId="1" type="noConversion"/>
  </si>
  <si>
    <t>강의명</t>
    <phoneticPr fontId="1" type="noConversion"/>
  </si>
  <si>
    <t>오전</t>
    <phoneticPr fontId="1" type="noConversion"/>
  </si>
  <si>
    <t>오후</t>
    <phoneticPr fontId="1" type="noConversion"/>
  </si>
  <si>
    <t>수영</t>
    <phoneticPr fontId="1" type="noConversion"/>
  </si>
  <si>
    <t>헬스</t>
    <phoneticPr fontId="1" type="noConversion"/>
  </si>
  <si>
    <t>난타</t>
    <phoneticPr fontId="1" type="noConversion"/>
  </si>
  <si>
    <t>오카리나</t>
    <phoneticPr fontId="1" type="noConversion"/>
  </si>
  <si>
    <t>오전 총 합계</t>
    <phoneticPr fontId="1" type="noConversion"/>
  </si>
  <si>
    <t>오후 총 합계</t>
    <phoneticPr fontId="1" type="noConversion"/>
  </si>
  <si>
    <t>[200만원 이상되어야 상승]</t>
    <phoneticPr fontId="1" type="noConversion"/>
  </si>
  <si>
    <t>매장점수</t>
    <phoneticPr fontId="1" type="noConversion"/>
  </si>
  <si>
    <t>[표2]</t>
    <phoneticPr fontId="1" type="noConversion"/>
  </si>
  <si>
    <t>박수영</t>
    <phoneticPr fontId="1" type="noConversion"/>
  </si>
  <si>
    <t>* 이번 문제는 위 시트자료가 아닌 외부데이터로 풀이하는 유형입니다.</t>
    <phoneticPr fontId="1" type="noConversion"/>
  </si>
  <si>
    <t>사원별 평가 점수표</t>
    <phoneticPr fontId="1" type="noConversion"/>
  </si>
  <si>
    <t>사번</t>
  </si>
  <si>
    <t>직무역량</t>
  </si>
  <si>
    <t>행동역량</t>
  </si>
  <si>
    <t>A1001</t>
    <phoneticPr fontId="1" type="noConversion"/>
  </si>
  <si>
    <t>A1002</t>
  </si>
  <si>
    <t>A1003</t>
  </si>
  <si>
    <t>A1004</t>
  </si>
  <si>
    <t>A1005</t>
  </si>
  <si>
    <t>A1006</t>
  </si>
  <si>
    <t>A1007</t>
  </si>
  <si>
    <t>A1008</t>
  </si>
  <si>
    <t>A1009</t>
  </si>
  <si>
    <t>A1010</t>
  </si>
  <si>
    <t>A1011</t>
  </si>
  <si>
    <t>A1012</t>
  </si>
  <si>
    <t>A1013</t>
  </si>
  <si>
    <t>A1014</t>
  </si>
  <si>
    <t>A1015</t>
  </si>
  <si>
    <t>A1016</t>
  </si>
  <si>
    <t>A1017</t>
  </si>
  <si>
    <t>A1018</t>
  </si>
  <si>
    <t>A1019</t>
  </si>
  <si>
    <t>A1020</t>
  </si>
  <si>
    <t>A1021</t>
  </si>
  <si>
    <t>A1022</t>
  </si>
  <si>
    <t>A1023</t>
  </si>
  <si>
    <t>A1024</t>
  </si>
  <si>
    <t>A1025</t>
  </si>
  <si>
    <t>A1026</t>
  </si>
  <si>
    <t>A1027</t>
  </si>
  <si>
    <t>A1028</t>
  </si>
  <si>
    <t>A1029</t>
  </si>
  <si>
    <t>A1030</t>
  </si>
  <si>
    <t>A1031</t>
  </si>
  <si>
    <t>A1032</t>
  </si>
  <si>
    <t>A1033</t>
  </si>
  <si>
    <t>A1034</t>
  </si>
  <si>
    <t>A1035</t>
  </si>
  <si>
    <t>A1036</t>
  </si>
  <si>
    <t>A1037</t>
  </si>
  <si>
    <t>A1038</t>
  </si>
  <si>
    <t>A1039</t>
  </si>
  <si>
    <t>A1040</t>
  </si>
  <si>
    <t>A1041</t>
  </si>
  <si>
    <t>A1042</t>
  </si>
  <si>
    <t>A1043</t>
  </si>
  <si>
    <t>A1044</t>
  </si>
  <si>
    <t>A1045</t>
  </si>
  <si>
    <t>A1046</t>
  </si>
  <si>
    <t>A1047</t>
  </si>
  <si>
    <t>미계약회원</t>
  </si>
  <si>
    <t>미계약회원 요약</t>
  </si>
  <si>
    <t>계약여부</t>
  </si>
  <si>
    <t>조건1</t>
    <phoneticPr fontId="1" type="noConversion"/>
  </si>
  <si>
    <t>조건2</t>
  </si>
  <si>
    <t>조건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</si>
</sst>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3">
    <numFmt numFmtId="42" formatCode="_-&quot;₩&quot;* #,##0_-;\-&quot;₩&quot;* #,##0_-;_-&quot;₩&quot;* &quot;-&quot;_-;_-@_-"/>
    <numFmt numFmtId="41" formatCode="_-* #,##0_-;\-* #,##0_-;_-* &quot;-&quot;_-;_-@_-"/>
    <numFmt numFmtId="176" formatCode="mm&quot;월&quot;\ dd&quot;일&quot;"/>
    <numFmt numFmtId="177" formatCode="yy/mm/dd\ AM/PM\ hh:mm"/>
    <numFmt numFmtId="178" formatCode="0&quot;kg~&quot;"/>
    <numFmt numFmtId="179" formatCode="#&quot;kg~&quot;"/>
    <numFmt numFmtId="180" formatCode="#&quot;kg&quot;"/>
    <numFmt numFmtId="181" formatCode="#,##0&quot;원부터&quot;"/>
    <numFmt numFmtId="182" formatCode="#,##0&quot;원까지&quot;"/>
    <numFmt numFmtId="183" formatCode="_-&quot;₩&quot;* #,##0.0_-;\-&quot;₩&quot;* #,##0.0_-;_-&quot;₩&quot;* &quot;-&quot;?_-;_-@_-"/>
    <numFmt numFmtId="184" formatCode="yyyy&quot;년&quot;\ m&quot;월&quot;\ d&quot;일&quot;;@"/>
    <numFmt numFmtId="185" formatCode="#,##0_ "/>
    <numFmt numFmtId="186" formatCode="[&gt;=2000000]&quot;▲&quot;#,###;[&lt;2000000]&quot;▼&quot;#,###"/>
  </numFmts>
  <fonts count="22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12"/>
      <color indexed="8"/>
      <name val="굴림"/>
      <family val="3"/>
      <charset val="129"/>
    </font>
    <font>
      <sz val="11"/>
      <color indexed="8"/>
      <name val="맑은 고딕"/>
      <family val="3"/>
      <charset val="129"/>
      <scheme val="minor"/>
    </font>
    <font>
      <sz val="11"/>
      <color indexed="8"/>
      <name val="맑은 고딕"/>
      <family val="3"/>
      <charset val="129"/>
    </font>
    <font>
      <sz val="8"/>
      <name val="맑은 고딕"/>
      <family val="3"/>
      <charset val="129"/>
      <scheme val="minor"/>
    </font>
    <font>
      <b/>
      <sz val="11"/>
      <name val="돋움"/>
      <family val="3"/>
      <charset val="129"/>
    </font>
    <font>
      <sz val="11"/>
      <color indexed="9"/>
      <name val="맑은 고딕"/>
      <family val="2"/>
      <charset val="129"/>
      <scheme val="minor"/>
    </font>
    <font>
      <sz val="11"/>
      <color indexed="9"/>
      <name val="맑은 고딕"/>
      <family val="3"/>
      <charset val="129"/>
      <scheme val="minor"/>
    </font>
    <font>
      <sz val="11"/>
      <color indexed="8"/>
      <name val="맑은 고딕"/>
      <family val="2"/>
      <charset val="129"/>
      <scheme val="minor"/>
    </font>
    <font>
      <sz val="11"/>
      <color indexed="18"/>
      <name val="맑은 고딕"/>
      <family val="2"/>
      <charset val="129"/>
      <scheme val="minor"/>
    </font>
    <font>
      <sz val="11"/>
      <color indexed="18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9"/>
      <color rgb="FF222222"/>
      <name val="Tahoma"/>
      <family val="2"/>
    </font>
    <font>
      <sz val="11"/>
      <color rgb="FF000000"/>
      <name val="맑은 고딕"/>
      <family val="3"/>
      <charset val="129"/>
    </font>
    <font>
      <sz val="24"/>
      <color theme="1"/>
      <name val="맑은 고딕"/>
      <family val="3"/>
      <charset val="129"/>
      <scheme val="minor"/>
    </font>
    <font>
      <sz val="18"/>
      <color theme="1"/>
      <name val="맑은 고딕"/>
      <family val="3"/>
      <charset val="129"/>
      <scheme val="minor"/>
    </font>
    <font>
      <sz val="18"/>
      <color indexed="8"/>
      <name val="맑은 고딕"/>
      <family val="3"/>
      <charset val="129"/>
    </font>
  </fonts>
  <fills count="1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92D050"/>
        <bgColor indexed="0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indexed="20"/>
        <bgColor indexed="24"/>
      </patternFill>
    </fill>
    <fill>
      <patternFill patternType="solid">
        <fgColor indexed="22"/>
        <bgColor indexed="24"/>
      </patternFill>
    </fill>
    <fill>
      <patternFill patternType="solid">
        <fgColor indexed="22"/>
        <bgColor indexed="7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/>
      <diagonal/>
    </border>
    <border diagonalUp="1" diagonalDown="1">
      <left style="thin">
        <color indexed="64"/>
      </left>
      <right/>
      <top style="thin">
        <color indexed="64"/>
      </top>
      <bottom/>
      <diagonal style="thin">
        <color indexed="64"/>
      </diagonal>
    </border>
    <border diagonalUp="1" diagonalDown="1">
      <left/>
      <right style="thin">
        <color indexed="64"/>
      </right>
      <top style="thin">
        <color indexed="64"/>
      </top>
      <bottom/>
      <diagonal style="thin">
        <color indexed="64"/>
      </diagonal>
    </border>
    <border diagonalUp="1" diagonalDown="1">
      <left style="thin">
        <color indexed="64"/>
      </left>
      <right/>
      <top/>
      <bottom style="thin">
        <color indexed="64"/>
      </bottom>
      <diagonal style="thin">
        <color indexed="64"/>
      </diagonal>
    </border>
    <border diagonalUp="1" diagonalDown="1">
      <left/>
      <right style="thin">
        <color indexed="64"/>
      </right>
      <top/>
      <bottom style="thin">
        <color indexed="64"/>
      </bottom>
      <diagonal style="thin">
        <color indexed="64"/>
      </diagonal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9">
    <xf numFmtId="0" fontId="0" fillId="0" borderId="0">
      <alignment vertical="center"/>
    </xf>
    <xf numFmtId="42" fontId="4" fillId="0" borderId="0" applyFont="0" applyFill="0" applyBorder="0" applyAlignment="0" applyProtection="0">
      <alignment vertical="center"/>
    </xf>
    <xf numFmtId="0" fontId="5" fillId="0" borderId="0"/>
    <xf numFmtId="9" fontId="5" fillId="0" borderId="0" applyFont="0" applyFill="0" applyBorder="0" applyAlignment="0" applyProtection="0"/>
    <xf numFmtId="41" fontId="4" fillId="0" borderId="0" applyFont="0" applyFill="0" applyBorder="0" applyAlignment="0" applyProtection="0">
      <alignment vertical="center"/>
    </xf>
    <xf numFmtId="0" fontId="6" fillId="0" borderId="0"/>
    <xf numFmtId="9" fontId="4" fillId="0" borderId="0" applyFont="0" applyFill="0" applyBorder="0" applyAlignment="0" applyProtection="0">
      <alignment vertical="center"/>
    </xf>
    <xf numFmtId="0" fontId="6" fillId="0" borderId="0"/>
    <xf numFmtId="0" fontId="6" fillId="0" borderId="0"/>
  </cellStyleXfs>
  <cellXfs count="100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Font="1">
      <alignment vertical="center"/>
    </xf>
    <xf numFmtId="0" fontId="0" fillId="0" borderId="0" xfId="0" applyAlignment="1"/>
    <xf numFmtId="0" fontId="0" fillId="0" borderId="0" xfId="0" applyNumberFormat="1" applyAlignment="1"/>
    <xf numFmtId="0" fontId="0" fillId="0" borderId="1" xfId="0" applyBorder="1" applyAlignment="1">
      <alignment horizontal="center"/>
    </xf>
    <xf numFmtId="0" fontId="3" fillId="0" borderId="0" xfId="0" applyFont="1">
      <alignment vertical="center"/>
    </xf>
    <xf numFmtId="0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 vertical="center"/>
    </xf>
    <xf numFmtId="9" fontId="0" fillId="0" borderId="1" xfId="0" applyNumberFormat="1" applyBorder="1" applyAlignment="1">
      <alignment horizontal="center" vertical="center"/>
    </xf>
    <xf numFmtId="0" fontId="0" fillId="0" borderId="1" xfId="0" quotePrefix="1" applyNumberFormat="1" applyBorder="1" applyAlignment="1">
      <alignment horizontal="center"/>
    </xf>
    <xf numFmtId="0" fontId="3" fillId="0" borderId="1" xfId="0" applyFont="1" applyBorder="1" applyAlignment="1">
      <alignment horizontal="center" vertical="center"/>
    </xf>
    <xf numFmtId="42" fontId="3" fillId="0" borderId="1" xfId="1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42" fontId="3" fillId="0" borderId="1" xfId="1" applyFont="1" applyFill="1" applyBorder="1" applyAlignment="1">
      <alignment horizontal="center" vertical="center"/>
    </xf>
    <xf numFmtId="0" fontId="8" fillId="3" borderId="1" xfId="5" applyFont="1" applyFill="1" applyBorder="1" applyAlignment="1">
      <alignment horizontal="center"/>
    </xf>
    <xf numFmtId="0" fontId="8" fillId="0" borderId="1" xfId="5" applyFont="1" applyFill="1" applyBorder="1" applyAlignment="1">
      <alignment horizontal="center" wrapText="1"/>
    </xf>
    <xf numFmtId="0" fontId="3" fillId="0" borderId="1" xfId="0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0" fontId="8" fillId="3" borderId="1" xfId="5" applyFont="1" applyFill="1" applyBorder="1" applyAlignment="1" applyProtection="1">
      <alignment horizontal="center"/>
    </xf>
    <xf numFmtId="0" fontId="8" fillId="0" borderId="1" xfId="5" applyFont="1" applyFill="1" applyBorder="1" applyAlignment="1" applyProtection="1">
      <alignment horizontal="center" wrapText="1"/>
    </xf>
    <xf numFmtId="177" fontId="8" fillId="0" borderId="1" xfId="5" applyNumberFormat="1" applyFont="1" applyFill="1" applyBorder="1" applyAlignment="1">
      <alignment horizontal="center" wrapText="1"/>
    </xf>
    <xf numFmtId="0" fontId="8" fillId="5" borderId="1" xfId="5" applyFont="1" applyFill="1" applyBorder="1" applyAlignment="1">
      <alignment horizontal="center"/>
    </xf>
    <xf numFmtId="0" fontId="8" fillId="3" borderId="2" xfId="5" applyFont="1" applyFill="1" applyBorder="1" applyAlignment="1">
      <alignment horizontal="center"/>
    </xf>
    <xf numFmtId="0" fontId="8" fillId="3" borderId="0" xfId="5" applyFont="1" applyFill="1" applyBorder="1" applyAlignment="1">
      <alignment horizontal="center"/>
    </xf>
    <xf numFmtId="0" fontId="3" fillId="0" borderId="0" xfId="0" applyFont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7" fillId="0" borderId="3" xfId="0" applyFont="1" applyBorder="1" applyAlignment="1">
      <alignment horizontal="center" vertical="center" wrapText="1"/>
    </xf>
    <xf numFmtId="0" fontId="7" fillId="6" borderId="3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0" fontId="7" fillId="0" borderId="3" xfId="0" applyFont="1" applyFill="1" applyBorder="1" applyAlignment="1">
      <alignment horizontal="center" vertical="center" wrapText="1"/>
    </xf>
    <xf numFmtId="0" fontId="7" fillId="0" borderId="0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0" fontId="3" fillId="6" borderId="1" xfId="0" applyFont="1" applyFill="1" applyBorder="1" applyAlignment="1">
      <alignment horizontal="center" vertical="center"/>
    </xf>
    <xf numFmtId="3" fontId="3" fillId="0" borderId="1" xfId="0" applyNumberFormat="1" applyFont="1" applyFill="1" applyBorder="1" applyAlignment="1">
      <alignment horizontal="center" vertical="center"/>
    </xf>
    <xf numFmtId="178" fontId="3" fillId="7" borderId="1" xfId="0" applyNumberFormat="1" applyFont="1" applyFill="1" applyBorder="1" applyAlignment="1">
      <alignment horizontal="center" vertical="center"/>
    </xf>
    <xf numFmtId="179" fontId="3" fillId="7" borderId="1" xfId="0" applyNumberFormat="1" applyFont="1" applyFill="1" applyBorder="1" applyAlignment="1">
      <alignment horizontal="center" vertical="center"/>
    </xf>
    <xf numFmtId="180" fontId="3" fillId="7" borderId="1" xfId="0" applyNumberFormat="1" applyFont="1" applyFill="1" applyBorder="1" applyAlignment="1">
      <alignment horizontal="center" vertical="center"/>
    </xf>
    <xf numFmtId="181" fontId="3" fillId="8" borderId="1" xfId="0" applyNumberFormat="1" applyFont="1" applyFill="1" applyBorder="1" applyAlignment="1">
      <alignment horizontal="center" vertical="center"/>
    </xf>
    <xf numFmtId="182" fontId="3" fillId="8" borderId="1" xfId="0" applyNumberFormat="1" applyFont="1" applyFill="1" applyBorder="1" applyAlignment="1">
      <alignment horizontal="center" vertical="center"/>
    </xf>
    <xf numFmtId="9" fontId="3" fillId="0" borderId="1" xfId="6" applyFont="1" applyBorder="1" applyAlignment="1">
      <alignment horizontal="center" vertical="center"/>
    </xf>
    <xf numFmtId="9" fontId="3" fillId="0" borderId="1" xfId="0" applyNumberFormat="1" applyFont="1" applyBorder="1" applyAlignment="1">
      <alignment horizontal="center" vertical="center"/>
    </xf>
    <xf numFmtId="0" fontId="8" fillId="0" borderId="1" xfId="5" applyFont="1" applyFill="1" applyBorder="1" applyAlignment="1">
      <alignment horizontal="center"/>
    </xf>
    <xf numFmtId="0" fontId="3" fillId="2" borderId="1" xfId="0" applyFont="1" applyFill="1" applyBorder="1" applyAlignment="1">
      <alignment horizontal="center" vertical="center"/>
    </xf>
    <xf numFmtId="41" fontId="3" fillId="0" borderId="1" xfId="4" applyFont="1" applyBorder="1" applyAlignment="1">
      <alignment horizontal="center" vertical="center"/>
    </xf>
    <xf numFmtId="0" fontId="0" fillId="2" borderId="1" xfId="0" applyFill="1" applyBorder="1" applyAlignment="1">
      <alignment horizontal="center"/>
    </xf>
    <xf numFmtId="42" fontId="0" fillId="0" borderId="1" xfId="4" applyNumberFormat="1" applyFont="1" applyBorder="1" applyAlignment="1">
      <alignment horizontal="right"/>
    </xf>
    <xf numFmtId="42" fontId="3" fillId="0" borderId="1" xfId="0" applyNumberFormat="1" applyFont="1" applyBorder="1" applyAlignment="1">
      <alignment horizontal="right" vertical="center"/>
    </xf>
    <xf numFmtId="42" fontId="0" fillId="0" borderId="1" xfId="1" applyNumberFormat="1" applyFont="1" applyBorder="1" applyAlignment="1">
      <alignment horizontal="right"/>
    </xf>
    <xf numFmtId="42" fontId="0" fillId="0" borderId="1" xfId="0" applyNumberFormat="1" applyBorder="1" applyAlignment="1">
      <alignment horizontal="right"/>
    </xf>
    <xf numFmtId="183" fontId="3" fillId="0" borderId="0" xfId="0" applyNumberFormat="1" applyFont="1" applyAlignment="1">
      <alignment horizontal="center" vertical="center"/>
    </xf>
    <xf numFmtId="0" fontId="8" fillId="9" borderId="3" xfId="7" applyFont="1" applyFill="1" applyBorder="1" applyAlignment="1">
      <alignment horizontal="center"/>
    </xf>
    <xf numFmtId="184" fontId="8" fillId="9" borderId="3" xfId="7" applyNumberFormat="1" applyFont="1" applyFill="1" applyBorder="1" applyAlignment="1">
      <alignment horizontal="center"/>
    </xf>
    <xf numFmtId="0" fontId="8" fillId="9" borderId="9" xfId="7" applyFont="1" applyFill="1" applyBorder="1" applyAlignment="1">
      <alignment horizontal="center"/>
    </xf>
    <xf numFmtId="0" fontId="8" fillId="0" borderId="10" xfId="7" applyFont="1" applyFill="1" applyBorder="1" applyAlignment="1">
      <alignment horizontal="center" vertical="center" wrapText="1"/>
    </xf>
    <xf numFmtId="184" fontId="8" fillId="0" borderId="10" xfId="7" applyNumberFormat="1" applyFont="1" applyFill="1" applyBorder="1" applyAlignment="1">
      <alignment horizontal="center" vertical="center" wrapText="1"/>
    </xf>
    <xf numFmtId="185" fontId="8" fillId="0" borderId="10" xfId="7" applyNumberFormat="1" applyFont="1" applyFill="1" applyBorder="1" applyAlignment="1">
      <alignment horizontal="center" vertical="center" wrapText="1"/>
    </xf>
    <xf numFmtId="0" fontId="8" fillId="0" borderId="11" xfId="7" applyFont="1" applyFill="1" applyBorder="1" applyAlignment="1">
      <alignment horizontal="center" vertical="center" wrapText="1"/>
    </xf>
    <xf numFmtId="184" fontId="0" fillId="0" borderId="0" xfId="0" applyNumberFormat="1">
      <alignment vertical="center"/>
    </xf>
    <xf numFmtId="185" fontId="0" fillId="0" borderId="0" xfId="0" applyNumberFormat="1">
      <alignment vertical="center"/>
    </xf>
    <xf numFmtId="14" fontId="0" fillId="0" borderId="0" xfId="0" applyNumberFormat="1">
      <alignment vertical="center"/>
    </xf>
    <xf numFmtId="0" fontId="10" fillId="0" borderId="0" xfId="0" applyFont="1">
      <alignment vertical="center"/>
    </xf>
    <xf numFmtId="41" fontId="0" fillId="0" borderId="1" xfId="4" applyFont="1" applyBorder="1">
      <alignment vertical="center"/>
    </xf>
    <xf numFmtId="41" fontId="0" fillId="0" borderId="0" xfId="4" applyFont="1">
      <alignment vertical="center"/>
    </xf>
    <xf numFmtId="0" fontId="0" fillId="0" borderId="0" xfId="0" applyFill="1" applyBorder="1" applyAlignment="1">
      <alignment vertical="center"/>
    </xf>
    <xf numFmtId="41" fontId="0" fillId="0" borderId="0" xfId="0" applyNumberFormat="1" applyFill="1" applyBorder="1" applyAlignment="1">
      <alignment vertical="center"/>
    </xf>
    <xf numFmtId="41" fontId="0" fillId="0" borderId="13" xfId="0" applyNumberFormat="1" applyFill="1" applyBorder="1" applyAlignment="1">
      <alignment vertical="center"/>
    </xf>
    <xf numFmtId="0" fontId="12" fillId="10" borderId="14" xfId="0" applyFont="1" applyFill="1" applyBorder="1" applyAlignment="1">
      <alignment horizontal="left" vertical="center"/>
    </xf>
    <xf numFmtId="0" fontId="11" fillId="10" borderId="12" xfId="0" applyFont="1" applyFill="1" applyBorder="1" applyAlignment="1">
      <alignment horizontal="left" vertical="center"/>
    </xf>
    <xf numFmtId="0" fontId="12" fillId="10" borderId="12" xfId="0" applyFont="1" applyFill="1" applyBorder="1" applyAlignment="1">
      <alignment horizontal="left" vertical="center"/>
    </xf>
    <xf numFmtId="0" fontId="0" fillId="0" borderId="15" xfId="0" applyFill="1" applyBorder="1" applyAlignment="1">
      <alignment vertical="center"/>
    </xf>
    <xf numFmtId="0" fontId="13" fillId="11" borderId="0" xfId="0" applyFont="1" applyFill="1" applyBorder="1" applyAlignment="1">
      <alignment horizontal="left" vertical="center"/>
    </xf>
    <xf numFmtId="0" fontId="14" fillId="11" borderId="15" xfId="0" applyFont="1" applyFill="1" applyBorder="1" applyAlignment="1">
      <alignment horizontal="left" vertical="center"/>
    </xf>
    <xf numFmtId="0" fontId="15" fillId="11" borderId="15" xfId="0" applyFont="1" applyFill="1" applyBorder="1" applyAlignment="1">
      <alignment horizontal="left" vertical="center"/>
    </xf>
    <xf numFmtId="0" fontId="13" fillId="11" borderId="13" xfId="0" applyFont="1" applyFill="1" applyBorder="1" applyAlignment="1">
      <alignment horizontal="left" vertical="center"/>
    </xf>
    <xf numFmtId="0" fontId="11" fillId="10" borderId="12" xfId="0" applyFont="1" applyFill="1" applyBorder="1" applyAlignment="1">
      <alignment horizontal="right" vertical="center"/>
    </xf>
    <xf numFmtId="0" fontId="11" fillId="10" borderId="14" xfId="0" applyFont="1" applyFill="1" applyBorder="1" applyAlignment="1">
      <alignment horizontal="right" vertical="center"/>
    </xf>
    <xf numFmtId="41" fontId="0" fillId="12" borderId="0" xfId="0" applyNumberFormat="1" applyFill="1" applyBorder="1" applyAlignment="1">
      <alignment vertical="center"/>
    </xf>
    <xf numFmtId="0" fontId="16" fillId="0" borderId="0" xfId="0" applyFont="1" applyFill="1" applyBorder="1" applyAlignment="1">
      <alignment vertical="top" wrapText="1"/>
    </xf>
    <xf numFmtId="0" fontId="0" fillId="6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41" fontId="0" fillId="0" borderId="1" xfId="4" applyFont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17" fillId="0" borderId="0" xfId="0" applyFont="1">
      <alignment vertical="center"/>
    </xf>
    <xf numFmtId="0" fontId="17" fillId="0" borderId="0" xfId="0" applyFont="1" applyAlignment="1">
      <alignment vertical="center" wrapText="1"/>
    </xf>
    <xf numFmtId="0" fontId="7" fillId="0" borderId="1" xfId="8" applyFont="1" applyFill="1" applyBorder="1" applyAlignment="1">
      <alignment horizontal="center" wrapText="1"/>
    </xf>
    <xf numFmtId="0" fontId="3" fillId="0" borderId="14" xfId="0" applyFont="1" applyBorder="1" applyAlignment="1"/>
    <xf numFmtId="22" fontId="0" fillId="0" borderId="0" xfId="0" applyNumberFormat="1">
      <alignment vertical="center"/>
    </xf>
    <xf numFmtId="186" fontId="3" fillId="0" borderId="1" xfId="4" applyNumberFormat="1" applyFont="1" applyBorder="1" applyAlignment="1">
      <alignment horizontal="center" vertical="center"/>
    </xf>
    <xf numFmtId="0" fontId="20" fillId="0" borderId="0" xfId="0" applyFont="1" applyAlignment="1">
      <alignment vertical="center"/>
    </xf>
    <xf numFmtId="0" fontId="20" fillId="0" borderId="0" xfId="0" applyFont="1">
      <alignment vertical="center"/>
    </xf>
    <xf numFmtId="0" fontId="21" fillId="3" borderId="1" xfId="5" applyFont="1" applyFill="1" applyBorder="1" applyAlignment="1">
      <alignment horizontal="center"/>
    </xf>
    <xf numFmtId="0" fontId="21" fillId="0" borderId="1" xfId="5" applyFont="1" applyFill="1" applyBorder="1" applyAlignment="1">
      <alignment horizontal="center" wrapText="1"/>
    </xf>
    <xf numFmtId="0" fontId="19" fillId="0" borderId="0" xfId="0" applyFont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</cellXfs>
  <cellStyles count="9">
    <cellStyle name="백분율" xfId="6" builtinId="5"/>
    <cellStyle name="백분율 2" xfId="3"/>
    <cellStyle name="쉼표 [0]" xfId="4" builtinId="6"/>
    <cellStyle name="통화 [0]" xfId="1" builtinId="7"/>
    <cellStyle name="표준" xfId="0" builtinId="0"/>
    <cellStyle name="표준 2" xfId="2"/>
    <cellStyle name="표준_Sheet1" xfId="7"/>
    <cellStyle name="표준_기본작업-3" xfId="5"/>
    <cellStyle name="표준_해외연수-2" xfId="8"/>
  </cellStyles>
  <dxfs count="3">
    <dxf>
      <numFmt numFmtId="19" formatCode="yyyy/mm/dd"/>
    </dxf>
    <dxf>
      <fill>
        <patternFill>
          <bgColor rgb="FF00B050"/>
        </patternFill>
      </fill>
    </dxf>
    <dxf>
      <fill>
        <patternFill>
          <bgColor theme="7" tint="0.79998168889431442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747860432557652E-2"/>
          <c:y val="0.12415811659906148"/>
          <c:w val="0.83258674373752639"/>
          <c:h val="0.6287326016066173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'기타작업-1'!$C$3</c:f>
              <c:strCache>
                <c:ptCount val="1"/>
                <c:pt idx="0">
                  <c:v>목표량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trendline>
            <c:spPr>
              <a:ln w="38100" cap="flat" cmpd="sng" algn="ctr">
                <a:solidFill>
                  <a:schemeClr val="dk1"/>
                </a:solidFill>
                <a:prstDash val="solid"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  <c:trendlineType val="movingAvg"/>
            <c:period val="2"/>
            <c:dispRSqr val="0"/>
            <c:dispEq val="0"/>
          </c:trendline>
          <c:cat>
            <c:strRef>
              <c:f>('기타작업-1'!$B$4:$B$5,'기타작업-1'!$G$4:$G$5,'기타작업-1'!$B$9:$B$10,'기타작업-1'!$G$9:$G$10)</c:f>
              <c:strCache>
                <c:ptCount val="8"/>
                <c:pt idx="0">
                  <c:v>메인보드</c:v>
                </c:pt>
                <c:pt idx="1">
                  <c:v>CPU</c:v>
                </c:pt>
                <c:pt idx="2">
                  <c:v>CD-ROM</c:v>
                </c:pt>
                <c:pt idx="3">
                  <c:v>모니터</c:v>
                </c:pt>
                <c:pt idx="4">
                  <c:v>프린터</c:v>
                </c:pt>
                <c:pt idx="5">
                  <c:v>사운드카드</c:v>
                </c:pt>
                <c:pt idx="6">
                  <c:v>스피커</c:v>
                </c:pt>
                <c:pt idx="7">
                  <c:v>마우스</c:v>
                </c:pt>
              </c:strCache>
            </c:strRef>
          </c:cat>
          <c:val>
            <c:numRef>
              <c:f>('기타작업-1'!$C$4:$C$5,'기타작업-1'!$H$4:$H$5,'기타작업-1'!$C$9:$C$10,'기타작업-1'!$H$9:$H$10)</c:f>
              <c:numCache>
                <c:formatCode>_(* #,##0_);_(* \(#,##0\);_(* "-"_);_(@_)</c:formatCode>
                <c:ptCount val="8"/>
                <c:pt idx="0">
                  <c:v>500000</c:v>
                </c:pt>
                <c:pt idx="1">
                  <c:v>530000</c:v>
                </c:pt>
                <c:pt idx="2">
                  <c:v>490000</c:v>
                </c:pt>
                <c:pt idx="3">
                  <c:v>485578</c:v>
                </c:pt>
                <c:pt idx="4">
                  <c:v>510000</c:v>
                </c:pt>
                <c:pt idx="5">
                  <c:v>350000</c:v>
                </c:pt>
                <c:pt idx="6">
                  <c:v>450000</c:v>
                </c:pt>
                <c:pt idx="7">
                  <c:v>600000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A16-442E-83A3-DC253651F6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1669347936"/>
        <c:axId val="-1669340864"/>
      </c:barChart>
      <c:lineChart>
        <c:grouping val="standard"/>
        <c:varyColors val="0"/>
        <c:ser>
          <c:idx val="1"/>
          <c:order val="1"/>
          <c:tx>
            <c:strRef>
              <c:f>'기타작업-1'!$E$3</c:f>
              <c:strCache>
                <c:ptCount val="1"/>
                <c:pt idx="0">
                  <c:v>판매비율</c:v>
                </c:pt>
              </c:strCache>
            </c:strRef>
          </c:tx>
          <c:spPr>
            <a:effectLst/>
          </c:spPr>
          <c:cat>
            <c:strRef>
              <c:f>('기타작업-1'!$B$4:$B$5,'기타작업-1'!$G$4:$G$5,'기타작업-1'!$B$9:$B$10,'기타작업-1'!$G$9:$G$10)</c:f>
              <c:strCache>
                <c:ptCount val="8"/>
                <c:pt idx="0">
                  <c:v>메인보드</c:v>
                </c:pt>
                <c:pt idx="1">
                  <c:v>CPU</c:v>
                </c:pt>
                <c:pt idx="2">
                  <c:v>CD-ROM</c:v>
                </c:pt>
                <c:pt idx="3">
                  <c:v>모니터</c:v>
                </c:pt>
                <c:pt idx="4">
                  <c:v>프린터</c:v>
                </c:pt>
                <c:pt idx="5">
                  <c:v>사운드카드</c:v>
                </c:pt>
                <c:pt idx="6">
                  <c:v>스피커</c:v>
                </c:pt>
                <c:pt idx="7">
                  <c:v>마우스</c:v>
                </c:pt>
              </c:strCache>
            </c:strRef>
          </c:cat>
          <c:val>
            <c:numRef>
              <c:f>('기타작업-1'!$E$4:$E$5,'기타작업-1'!$J$4:$J$5,'기타작업-1'!$E$9:$E$10,'기타작업-1'!$J$9:$J$10)</c:f>
              <c:numCache>
                <c:formatCode>0%</c:formatCode>
                <c:ptCount val="8"/>
                <c:pt idx="0">
                  <c:v>1.2</c:v>
                </c:pt>
                <c:pt idx="1">
                  <c:v>1.1132075471698113</c:v>
                </c:pt>
                <c:pt idx="2">
                  <c:v>1.1836734693877551</c:v>
                </c:pt>
                <c:pt idx="3">
                  <c:v>1.1862151909682894</c:v>
                </c:pt>
                <c:pt idx="4">
                  <c:v>0.90196078431372551</c:v>
                </c:pt>
                <c:pt idx="5">
                  <c:v>0.5714285714285714</c:v>
                </c:pt>
                <c:pt idx="6">
                  <c:v>0.55555555555555558</c:v>
                </c:pt>
                <c:pt idx="7">
                  <c:v>1.2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A16-442E-83A3-DC253651F6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669339776"/>
        <c:axId val="-1669340320"/>
      </c:lineChart>
      <c:catAx>
        <c:axId val="-16693479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1669340864"/>
        <c:crosses val="autoZero"/>
        <c:auto val="1"/>
        <c:lblAlgn val="ctr"/>
        <c:lblOffset val="100"/>
        <c:noMultiLvlLbl val="0"/>
      </c:catAx>
      <c:valAx>
        <c:axId val="-1669340864"/>
        <c:scaling>
          <c:orientation val="minMax"/>
          <c:max val="80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1669347936"/>
        <c:crosses val="autoZero"/>
        <c:crossBetween val="between"/>
        <c:majorUnit val="200000"/>
        <c:dispUnits>
          <c:builtInUnit val="tenThousands"/>
          <c:dispUnitsLbl/>
        </c:dispUnits>
      </c:valAx>
      <c:valAx>
        <c:axId val="-1669340320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crossAx val="-1669339776"/>
        <c:crosses val="max"/>
        <c:crossBetween val="between"/>
      </c:valAx>
      <c:catAx>
        <c:axId val="-16693397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166934032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view3D>
      <c:rotX val="15"/>
      <c:rotY val="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'기타작업-1'!$D$29</c:f>
              <c:strCache>
                <c:ptCount val="1"/>
                <c:pt idx="0">
                  <c:v>득표수</c:v>
                </c:pt>
              </c:strCache>
            </c:strRef>
          </c:tx>
          <c:dPt>
            <c:idx val="0"/>
            <c:bubble3D val="0"/>
            <c:explosion val="26"/>
            <c:spPr>
              <a:blipFill>
                <a:blip xmlns:r="http://schemas.openxmlformats.org/officeDocument/2006/relationships" r:embed="rId1"/>
                <a:tile tx="0" ty="0" sx="100000" sy="100000" flip="none" algn="tl"/>
              </a:blip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1-E1E6-4E8A-BB43-90DFEEC41DC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3-E1E6-4E8A-BB43-90DFEEC41DC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5-E1E6-4E8A-BB43-90DFEEC41DC6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7-E1E6-4E8A-BB43-90DFEEC41DC6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9-E1E6-4E8A-BB43-90DFEEC41DC6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B-E1E6-4E8A-BB43-90DFEEC41DC6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D-E1E6-4E8A-BB43-90DFEEC41DC6}"/>
              </c:ext>
            </c:extLst>
          </c:dPt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'기타작업-1'!$C$30:$C$36</c:f>
              <c:strCache>
                <c:ptCount val="7"/>
                <c:pt idx="0">
                  <c:v>홍길동</c:v>
                </c:pt>
                <c:pt idx="1">
                  <c:v>이도현</c:v>
                </c:pt>
                <c:pt idx="2">
                  <c:v>한미우</c:v>
                </c:pt>
                <c:pt idx="3">
                  <c:v>박정진</c:v>
                </c:pt>
                <c:pt idx="4">
                  <c:v>윤수진</c:v>
                </c:pt>
                <c:pt idx="5">
                  <c:v>이연순</c:v>
                </c:pt>
                <c:pt idx="6">
                  <c:v>최재석</c:v>
                </c:pt>
              </c:strCache>
            </c:strRef>
          </c:cat>
          <c:val>
            <c:numRef>
              <c:f>'기타작업-1'!$D$30:$D$36</c:f>
              <c:numCache>
                <c:formatCode>General</c:formatCode>
                <c:ptCount val="7"/>
                <c:pt idx="0">
                  <c:v>13</c:v>
                </c:pt>
                <c:pt idx="1">
                  <c:v>7</c:v>
                </c:pt>
                <c:pt idx="2">
                  <c:v>4</c:v>
                </c:pt>
                <c:pt idx="3">
                  <c:v>10</c:v>
                </c:pt>
                <c:pt idx="4">
                  <c:v>5</c:v>
                </c:pt>
                <c:pt idx="5">
                  <c:v>2</c:v>
                </c:pt>
                <c:pt idx="6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E1E6-4E8A-BB43-90DFEEC41D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12</xdr:row>
      <xdr:rowOff>0</xdr:rowOff>
    </xdr:from>
    <xdr:to>
      <xdr:col>10</xdr:col>
      <xdr:colOff>1</xdr:colOff>
      <xdr:row>24</xdr:row>
      <xdr:rowOff>0</xdr:rowOff>
    </xdr:to>
    <xdr:graphicFrame macro="">
      <xdr:nvGraphicFramePr>
        <xdr:cNvPr id="2" name="차트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9525</xdr:colOff>
      <xdr:row>40</xdr:row>
      <xdr:rowOff>9525</xdr:rowOff>
    </xdr:from>
    <xdr:to>
      <xdr:col>6</xdr:col>
      <xdr:colOff>533400</xdr:colOff>
      <xdr:row>53</xdr:row>
      <xdr:rowOff>28575</xdr:rowOff>
    </xdr:to>
    <xdr:graphicFrame macro="">
      <xdr:nvGraphicFramePr>
        <xdr:cNvPr id="3" name="차트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2</xdr:row>
          <xdr:rowOff>0</xdr:rowOff>
        </xdr:from>
        <xdr:to>
          <xdr:col>9</xdr:col>
          <xdr:colOff>0</xdr:colOff>
          <xdr:row>4</xdr:row>
          <xdr:rowOff>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서식적용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5</xdr:row>
      <xdr:rowOff>0</xdr:rowOff>
    </xdr:from>
    <xdr:to>
      <xdr:col>9</xdr:col>
      <xdr:colOff>0</xdr:colOff>
      <xdr:row>7</xdr:row>
      <xdr:rowOff>0</xdr:rowOff>
    </xdr:to>
    <xdr:sp macro="[0]!그래프보기" textlink="">
      <xdr:nvSpPr>
        <xdr:cNvPr id="2" name="웃는 얼굴 1"/>
        <xdr:cNvSpPr/>
      </xdr:nvSpPr>
      <xdr:spPr>
        <a:xfrm>
          <a:off x="5848350" y="1047750"/>
          <a:ext cx="1371600" cy="419100"/>
        </a:xfrm>
        <a:prstGeom prst="smileyFac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7</xdr:row>
          <xdr:rowOff>57150</xdr:rowOff>
        </xdr:from>
        <xdr:to>
          <xdr:col>9</xdr:col>
          <xdr:colOff>495300</xdr:colOff>
          <xdr:row>9</xdr:row>
          <xdr:rowOff>85725</xdr:rowOff>
        </xdr:to>
        <xdr:sp macro="" textlink="">
          <xdr:nvSpPr>
            <xdr:cNvPr id="15361" name="Cmd내역입력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66675</xdr:colOff>
      <xdr:row>0</xdr:row>
      <xdr:rowOff>76200</xdr:rowOff>
    </xdr:from>
    <xdr:to>
      <xdr:col>5</xdr:col>
      <xdr:colOff>1114425</xdr:colOff>
      <xdr:row>2</xdr:row>
      <xdr:rowOff>171450</xdr:rowOff>
    </xdr:to>
    <xdr:sp macro="" textlink="">
      <xdr:nvSpPr>
        <xdr:cNvPr id="3" name="정육면체 2"/>
        <xdr:cNvSpPr/>
      </xdr:nvSpPr>
      <xdr:spPr>
        <a:xfrm>
          <a:off x="609600" y="76200"/>
          <a:ext cx="5019675" cy="514350"/>
        </a:xfrm>
        <a:prstGeom prst="cub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ko-KR" altLang="en-US" sz="1100"/>
            <a:t>시설관리  운영 내역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ITBTM" refreshedDate="44158.628994675928" createdVersion="6" refreshedVersion="6" minRefreshableVersion="3" recordCount="31">
  <cacheSource type="external" connectionId="1"/>
  <cacheFields count="9">
    <cacheField name="번호" numFmtId="0" sqlType="4">
      <sharedItems containsSemiMixedTypes="0" containsString="0" containsNumber="1" containsInteger="1" minValue="1" maxValue="31"/>
    </cacheField>
    <cacheField name="여행출발날짜" numFmtId="0" sqlType="11">
      <sharedItems containsSemiMixedTypes="0" containsNonDate="0" containsDate="1" containsString="0" minDate="2020-01-01T00:00:00" maxDate="2020-12-27T00:00:00" count="31">
        <d v="2020-01-01T00:00:00"/>
        <d v="2020-01-13T00:00:00"/>
        <d v="2020-01-25T00:00:00"/>
        <d v="2020-02-06T00:00:00"/>
        <d v="2020-02-18T00:00:00"/>
        <d v="2020-03-01T00:00:00"/>
        <d v="2020-03-13T00:00:00"/>
        <d v="2020-03-25T00:00:00"/>
        <d v="2020-04-06T00:00:00"/>
        <d v="2020-04-18T00:00:00"/>
        <d v="2020-04-30T00:00:00"/>
        <d v="2020-05-12T00:00:00"/>
        <d v="2020-05-24T00:00:00"/>
        <d v="2020-06-05T00:00:00"/>
        <d v="2020-06-17T00:00:00"/>
        <d v="2020-06-29T00:00:00"/>
        <d v="2020-07-11T00:00:00"/>
        <d v="2020-07-23T00:00:00"/>
        <d v="2020-08-04T00:00:00"/>
        <d v="2020-08-16T00:00:00"/>
        <d v="2020-08-28T00:00:00"/>
        <d v="2020-09-09T00:00:00"/>
        <d v="2020-09-21T00:00:00"/>
        <d v="2020-10-03T00:00:00"/>
        <d v="2020-10-15T00:00:00"/>
        <d v="2020-10-27T00:00:00"/>
        <d v="2020-11-08T00:00:00"/>
        <d v="2020-11-20T00:00:00"/>
        <d v="2020-12-02T00:00:00"/>
        <d v="2020-12-14T00:00:00"/>
        <d v="2020-12-26T00:00:00"/>
      </sharedItems>
      <fieldGroup base="1">
        <rangePr groupBy="months" startDate="2020-01-01T00:00:00" endDate="2020-12-27T00:00:00"/>
        <groupItems count="14">
          <s v="&lt;2020-01-01"/>
          <s v="1월"/>
          <s v="2월"/>
          <s v="3월"/>
          <s v="4월"/>
          <s v="5월"/>
          <s v="6월"/>
          <s v="7월"/>
          <s v="8월"/>
          <s v="9월"/>
          <s v="10월"/>
          <s v="11월"/>
          <s v="12월"/>
          <s v="&gt;2020-12-27"/>
        </groupItems>
      </fieldGroup>
    </cacheField>
    <cacheField name="여행지" numFmtId="0" sqlType="-9">
      <sharedItems count="4">
        <s v="일본"/>
        <s v="중국"/>
        <s v="홍콩"/>
        <s v="미국"/>
      </sharedItems>
    </cacheField>
    <cacheField name="고객명" numFmtId="0" sqlType="-9">
      <sharedItems/>
    </cacheField>
    <cacheField name="금액" numFmtId="0" sqlType="2">
      <sharedItems containsSemiMixedTypes="0" containsString="0" containsNumber="1" containsInteger="1" minValue="8000000" maxValue="24000000" count="8">
        <n v="12000000"/>
        <n v="15000000"/>
        <n v="21000000"/>
        <n v="11500000"/>
        <n v="8000000"/>
        <n v="24000000"/>
        <n v="18000000"/>
        <n v="9000000"/>
      </sharedItems>
    </cacheField>
    <cacheField name="계약금" numFmtId="0" sqlType="2">
      <sharedItems containsSemiMixedTypes="0" containsString="0" containsNumber="1" containsInteger="1" minValue="200000" maxValue="4500000" count="17">
        <n v="1000000"/>
        <n v="200000"/>
        <n v="1600000"/>
        <n v="2400000"/>
        <n v="3000000"/>
        <n v="2800000"/>
        <n v="4500000"/>
        <n v="2600000"/>
        <n v="4000000"/>
        <n v="1500000"/>
        <n v="2000000"/>
        <n v="3500000"/>
        <n v="2700000"/>
        <n v="1900000"/>
        <n v="3200000"/>
        <n v="1400000"/>
        <n v="1300000"/>
      </sharedItems>
    </cacheField>
    <cacheField name="특이사항" numFmtId="0" sqlType="-9">
      <sharedItems containsBlank="1" count="3">
        <s v="패키지 상품"/>
        <s v="항공비만 지급"/>
        <m/>
      </sharedItems>
    </cacheField>
    <cacheField name="구분" numFmtId="0" sqlType="-9">
      <sharedItems count="3">
        <s v="우수회원"/>
        <s v="정회원"/>
        <s v="비회원"/>
      </sharedItems>
      <fieldGroup par="8"/>
    </cacheField>
    <cacheField name="구분2" numFmtId="0" databaseField="0">
      <fieldGroup base="7">
        <discretePr count="3">
          <x v="1"/>
          <x v="1"/>
          <x v="0"/>
        </discretePr>
        <groupItems count="2">
          <s v="비회원"/>
          <s v="그룹1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1">
  <r>
    <n v="1"/>
    <x v="0"/>
    <x v="0"/>
    <s v="신현학"/>
    <x v="0"/>
    <x v="0"/>
    <x v="0"/>
    <x v="0"/>
  </r>
  <r>
    <n v="2"/>
    <x v="1"/>
    <x v="0"/>
    <s v="배영진"/>
    <x v="1"/>
    <x v="1"/>
    <x v="0"/>
    <x v="1"/>
  </r>
  <r>
    <n v="3"/>
    <x v="2"/>
    <x v="0"/>
    <s v="김진호"/>
    <x v="2"/>
    <x v="2"/>
    <x v="1"/>
    <x v="2"/>
  </r>
  <r>
    <n v="4"/>
    <x v="3"/>
    <x v="0"/>
    <s v="양미라"/>
    <x v="3"/>
    <x v="3"/>
    <x v="1"/>
    <x v="0"/>
  </r>
  <r>
    <n v="5"/>
    <x v="4"/>
    <x v="0"/>
    <s v="정경호"/>
    <x v="3"/>
    <x v="4"/>
    <x v="1"/>
    <x v="1"/>
  </r>
  <r>
    <n v="6"/>
    <x v="5"/>
    <x v="0"/>
    <s v="사미자"/>
    <x v="4"/>
    <x v="5"/>
    <x v="2"/>
    <x v="2"/>
  </r>
  <r>
    <n v="7"/>
    <x v="6"/>
    <x v="0"/>
    <s v="고아라"/>
    <x v="1"/>
    <x v="6"/>
    <x v="0"/>
    <x v="0"/>
  </r>
  <r>
    <n v="8"/>
    <x v="7"/>
    <x v="1"/>
    <s v="김기범"/>
    <x v="2"/>
    <x v="7"/>
    <x v="2"/>
    <x v="1"/>
  </r>
  <r>
    <n v="9"/>
    <x v="8"/>
    <x v="1"/>
    <s v="김희철"/>
    <x v="3"/>
    <x v="8"/>
    <x v="0"/>
    <x v="2"/>
  </r>
  <r>
    <n v="10"/>
    <x v="9"/>
    <x v="1"/>
    <s v="정선희"/>
    <x v="4"/>
    <x v="9"/>
    <x v="0"/>
    <x v="0"/>
  </r>
  <r>
    <n v="11"/>
    <x v="10"/>
    <x v="1"/>
    <s v="안승호"/>
    <x v="2"/>
    <x v="10"/>
    <x v="2"/>
    <x v="1"/>
  </r>
  <r>
    <n v="12"/>
    <x v="11"/>
    <x v="1"/>
    <s v="안혜연"/>
    <x v="2"/>
    <x v="4"/>
    <x v="1"/>
    <x v="2"/>
  </r>
  <r>
    <n v="13"/>
    <x v="12"/>
    <x v="1"/>
    <s v="이윤지"/>
    <x v="5"/>
    <x v="11"/>
    <x v="2"/>
    <x v="0"/>
  </r>
  <r>
    <n v="14"/>
    <x v="13"/>
    <x v="1"/>
    <s v="봉태규"/>
    <x v="4"/>
    <x v="12"/>
    <x v="1"/>
    <x v="1"/>
  </r>
  <r>
    <n v="15"/>
    <x v="14"/>
    <x v="1"/>
    <s v="박광식"/>
    <x v="0"/>
    <x v="13"/>
    <x v="1"/>
    <x v="2"/>
  </r>
  <r>
    <n v="16"/>
    <x v="15"/>
    <x v="2"/>
    <s v="백선생"/>
    <x v="2"/>
    <x v="3"/>
    <x v="1"/>
    <x v="0"/>
  </r>
  <r>
    <n v="17"/>
    <x v="16"/>
    <x v="2"/>
    <s v="배영일"/>
    <x v="5"/>
    <x v="9"/>
    <x v="2"/>
    <x v="1"/>
  </r>
  <r>
    <n v="18"/>
    <x v="17"/>
    <x v="2"/>
    <s v="강남길"/>
    <x v="6"/>
    <x v="11"/>
    <x v="0"/>
    <x v="2"/>
  </r>
  <r>
    <n v="19"/>
    <x v="18"/>
    <x v="2"/>
    <s v="김동완"/>
    <x v="2"/>
    <x v="14"/>
    <x v="2"/>
    <x v="0"/>
  </r>
  <r>
    <n v="20"/>
    <x v="19"/>
    <x v="2"/>
    <s v="진태화"/>
    <x v="3"/>
    <x v="0"/>
    <x v="0"/>
    <x v="1"/>
  </r>
  <r>
    <n v="21"/>
    <x v="20"/>
    <x v="2"/>
    <s v="전선화"/>
    <x v="4"/>
    <x v="3"/>
    <x v="0"/>
    <x v="2"/>
  </r>
  <r>
    <n v="22"/>
    <x v="21"/>
    <x v="2"/>
    <s v="여현수"/>
    <x v="6"/>
    <x v="0"/>
    <x v="0"/>
    <x v="0"/>
  </r>
  <r>
    <n v="23"/>
    <x v="22"/>
    <x v="2"/>
    <s v="김기덕"/>
    <x v="3"/>
    <x v="6"/>
    <x v="0"/>
    <x v="1"/>
  </r>
  <r>
    <n v="24"/>
    <x v="23"/>
    <x v="3"/>
    <s v="최주봉"/>
    <x v="7"/>
    <x v="7"/>
    <x v="1"/>
    <x v="2"/>
  </r>
  <r>
    <n v="25"/>
    <x v="24"/>
    <x v="3"/>
    <s v="김만수"/>
    <x v="6"/>
    <x v="15"/>
    <x v="1"/>
    <x v="0"/>
  </r>
  <r>
    <n v="26"/>
    <x v="25"/>
    <x v="3"/>
    <s v="김민선"/>
    <x v="3"/>
    <x v="16"/>
    <x v="1"/>
    <x v="1"/>
  </r>
  <r>
    <n v="27"/>
    <x v="26"/>
    <x v="3"/>
    <s v="공현주"/>
    <x v="6"/>
    <x v="0"/>
    <x v="2"/>
    <x v="2"/>
  </r>
  <r>
    <n v="28"/>
    <x v="27"/>
    <x v="3"/>
    <s v="박지성"/>
    <x v="6"/>
    <x v="9"/>
    <x v="0"/>
    <x v="0"/>
  </r>
  <r>
    <n v="29"/>
    <x v="28"/>
    <x v="3"/>
    <s v="안데니"/>
    <x v="5"/>
    <x v="16"/>
    <x v="2"/>
    <x v="1"/>
  </r>
  <r>
    <n v="30"/>
    <x v="29"/>
    <x v="3"/>
    <s v="장우혁"/>
    <x v="2"/>
    <x v="11"/>
    <x v="0"/>
    <x v="2"/>
  </r>
  <r>
    <n v="31"/>
    <x v="30"/>
    <x v="3"/>
    <s v="임창정"/>
    <x v="5"/>
    <x v="0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피벗 테이블1" cacheId="0" applyNumberFormats="0" applyBorderFormats="0" applyFontFormats="0" applyPatternFormats="0" applyAlignmentFormats="0" applyWidthHeightFormats="1" dataCaption="값" missingCaption="(공란)" updatedVersion="6" minRefreshableVersion="3" useAutoFormatting="1" itemPrintTitles="1" createdVersion="6" indent="0" compact="0" outline="1" outlineData="1" compactData="0" multipleFieldFilters="0" fieldListSortAscending="1">
  <location ref="K3:T13" firstHeaderRow="1" firstDataRow="3" firstDataCol="2" rowPageCount="1" colPageCount="1"/>
  <pivotFields count="9">
    <pivotField compact="0" subtotalTop="0" showAll="0"/>
    <pivotField axis="axisCol" compact="0" subtotalTop="0" showAll="0">
      <items count="15">
        <item h="1" x="0"/>
        <item x="1"/>
        <item x="2"/>
        <item h="1" x="3"/>
        <item h="1" x="4"/>
        <item h="1" x="5"/>
        <item h="1" x="6"/>
        <item x="7"/>
        <item h="1" x="8"/>
        <item h="1" x="9"/>
        <item h="1" x="10"/>
        <item h="1" x="11"/>
        <item h="1" x="12"/>
        <item h="1" x="13"/>
        <item t="default"/>
      </items>
    </pivotField>
    <pivotField axis="axisPage" compact="0" subtotalTop="0" showAll="0">
      <items count="5">
        <item x="3"/>
        <item x="0"/>
        <item x="1"/>
        <item x="2"/>
        <item t="default"/>
      </items>
    </pivotField>
    <pivotField compact="0" subtotalTop="0" showAll="0"/>
    <pivotField dataField="1" compact="0" subtotalTop="0" showAll="0"/>
    <pivotField dataField="1" compact="0" subtotalTop="0" showAll="0"/>
    <pivotField compact="0" subtotalTop="0" showAll="0"/>
    <pivotField axis="axisRow" compact="0" subtotalTop="0" showAll="0">
      <items count="4">
        <item x="0"/>
        <item x="1"/>
        <item x="2"/>
        <item t="default"/>
      </items>
    </pivotField>
    <pivotField name="계약여부" axis="axisRow" compact="0" subtotalTop="0" showAll="0">
      <items count="3">
        <item n="계약회원" x="1"/>
        <item n="미계약회원" x="0"/>
        <item t="default"/>
      </items>
    </pivotField>
  </pivotFields>
  <rowFields count="2">
    <field x="8"/>
    <field x="7"/>
  </rowFields>
  <rowItems count="8">
    <i>
      <x/>
    </i>
    <i r="1">
      <x/>
    </i>
    <i r="1">
      <x v="1"/>
    </i>
    <i t="default">
      <x/>
    </i>
    <i>
      <x v="1"/>
    </i>
    <i r="1">
      <x v="2"/>
    </i>
    <i t="default">
      <x v="1"/>
    </i>
    <i t="grand">
      <x/>
    </i>
  </rowItems>
  <colFields count="2">
    <field x="1"/>
    <field x="-2"/>
  </colFields>
  <colItems count="8">
    <i>
      <x v="1"/>
      <x/>
    </i>
    <i r="1" i="1">
      <x v="1"/>
    </i>
    <i>
      <x v="2"/>
      <x/>
    </i>
    <i r="1" i="1">
      <x v="1"/>
    </i>
    <i>
      <x v="7"/>
      <x/>
    </i>
    <i r="1" i="1">
      <x v="1"/>
    </i>
    <i t="grand">
      <x/>
    </i>
    <i t="grand" i="1">
      <x/>
    </i>
  </colItems>
  <pageFields count="1">
    <pageField fld="2" hier="-1"/>
  </pageFields>
  <dataFields count="2">
    <dataField name="평균 : 금액" fld="4" subtotal="average" baseField="7" baseItem="0" numFmtId="185"/>
    <dataField name="평균 : 계약금" fld="5" subtotal="average" baseField="7" baseItem="0" numFmtId="185"/>
  </dataFields>
  <pivotTableStyleInfo name="PivotStyleLight1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1" name="표1" displayName="표1" ref="A1:H6" totalsRowShown="0">
  <autoFilter ref="A1:H6"/>
  <tableColumns count="8">
    <tableColumn id="1" name="번호"/>
    <tableColumn id="2" name="여행출발날짜" dataDxfId="0"/>
    <tableColumn id="3" name="여행지"/>
    <tableColumn id="4" name="고객명"/>
    <tableColumn id="5" name="금액"/>
    <tableColumn id="6" name="계약금"/>
    <tableColumn id="7" name="특이사항"/>
    <tableColumn id="8" name="구분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L49"/>
  <sheetViews>
    <sheetView topLeftCell="F1" workbookViewId="0">
      <selection activeCell="K6" sqref="K6"/>
    </sheetView>
  </sheetViews>
  <sheetFormatPr defaultRowHeight="16.5" x14ac:dyDescent="0.3"/>
  <cols>
    <col min="1" max="1" width="3.25" style="6" customWidth="1"/>
    <col min="2" max="2" width="6.875" style="6" customWidth="1"/>
    <col min="3" max="3" width="11.75" style="6" customWidth="1"/>
    <col min="4" max="4" width="9.625" style="6" customWidth="1"/>
    <col min="5" max="5" width="18.5" style="6" bestFit="1" customWidth="1"/>
    <col min="6" max="6" width="11.625" style="6" bestFit="1" customWidth="1"/>
    <col min="7" max="7" width="5.125" customWidth="1"/>
    <col min="8" max="8" width="8.375" style="6" customWidth="1"/>
    <col min="9" max="10" width="9" style="6"/>
    <col min="11" max="11" width="18.375" style="6" bestFit="1" customWidth="1"/>
    <col min="12" max="12" width="11.875" style="6" customWidth="1"/>
    <col min="13" max="16384" width="9" style="6"/>
  </cols>
  <sheetData>
    <row r="1" spans="2:12" x14ac:dyDescent="0.3">
      <c r="G1" s="6"/>
    </row>
    <row r="2" spans="2:12" x14ac:dyDescent="0.3">
      <c r="B2" s="18" t="s">
        <v>166</v>
      </c>
      <c r="C2" s="19" t="s">
        <v>167</v>
      </c>
      <c r="D2" s="15" t="s">
        <v>2</v>
      </c>
      <c r="E2" s="15" t="s">
        <v>168</v>
      </c>
      <c r="F2" s="15" t="s">
        <v>169</v>
      </c>
      <c r="G2" s="6"/>
      <c r="H2" s="23" t="s">
        <v>534</v>
      </c>
      <c r="I2" s="23" t="s">
        <v>535</v>
      </c>
      <c r="K2" s="24" t="s">
        <v>536</v>
      </c>
    </row>
    <row r="3" spans="2:12" x14ac:dyDescent="0.3">
      <c r="B3" s="11" t="s">
        <v>72</v>
      </c>
      <c r="C3" s="20" t="s">
        <v>170</v>
      </c>
      <c r="D3" s="16" t="s">
        <v>8</v>
      </c>
      <c r="E3" s="21">
        <v>43831.333333333336</v>
      </c>
      <c r="F3" s="16" t="s">
        <v>6</v>
      </c>
      <c r="G3" s="6"/>
      <c r="H3" s="6" t="b">
        <f>AND(HOUR(E3)&gt;=12,HOUR(E3)&lt;=18)</f>
        <v>0</v>
      </c>
      <c r="I3" s="6" t="b">
        <f>MID(C3,5,1)="S"</f>
        <v>1</v>
      </c>
      <c r="K3" s="6" t="b">
        <f>AND(HOUR(E3)&gt;=12,HOUR(E3)&lt;=18,MID(C3,5,1)="S")</f>
        <v>0</v>
      </c>
    </row>
    <row r="4" spans="2:12" x14ac:dyDescent="0.3">
      <c r="B4" s="11" t="s">
        <v>73</v>
      </c>
      <c r="C4" s="20" t="s">
        <v>74</v>
      </c>
      <c r="D4" s="16" t="s">
        <v>10</v>
      </c>
      <c r="E4" s="21">
        <v>43831.375</v>
      </c>
      <c r="F4" s="16" t="s">
        <v>9</v>
      </c>
      <c r="G4" s="6"/>
    </row>
    <row r="5" spans="2:12" x14ac:dyDescent="0.3">
      <c r="B5" s="11" t="s">
        <v>75</v>
      </c>
      <c r="C5" s="20" t="s">
        <v>76</v>
      </c>
      <c r="D5" s="16" t="s">
        <v>12</v>
      </c>
      <c r="E5" s="21">
        <v>43831.416666666664</v>
      </c>
      <c r="F5" s="16" t="s">
        <v>11</v>
      </c>
      <c r="G5" s="6"/>
    </row>
    <row r="6" spans="2:12" x14ac:dyDescent="0.3">
      <c r="B6" s="11" t="s">
        <v>77</v>
      </c>
      <c r="C6" s="20" t="s">
        <v>78</v>
      </c>
      <c r="D6" s="16" t="s">
        <v>14</v>
      </c>
      <c r="E6" s="21">
        <v>43831.458333333336</v>
      </c>
      <c r="F6" s="16" t="s">
        <v>9</v>
      </c>
      <c r="G6" s="6"/>
    </row>
    <row r="7" spans="2:12" x14ac:dyDescent="0.3">
      <c r="B7" s="11" t="s">
        <v>79</v>
      </c>
      <c r="C7" s="20" t="s">
        <v>80</v>
      </c>
      <c r="D7" s="16" t="s">
        <v>14</v>
      </c>
      <c r="E7" s="21">
        <v>43831.5</v>
      </c>
      <c r="F7" s="16" t="s">
        <v>15</v>
      </c>
      <c r="G7" s="6"/>
      <c r="H7" s="18" t="s">
        <v>166</v>
      </c>
      <c r="I7" s="19" t="s">
        <v>167</v>
      </c>
      <c r="J7" s="15" t="s">
        <v>2</v>
      </c>
      <c r="K7" s="15" t="s">
        <v>168</v>
      </c>
      <c r="L7" s="15" t="s">
        <v>169</v>
      </c>
    </row>
    <row r="8" spans="2:12" x14ac:dyDescent="0.3">
      <c r="B8" s="11" t="s">
        <v>81</v>
      </c>
      <c r="C8" s="20" t="s">
        <v>82</v>
      </c>
      <c r="D8" s="16" t="s">
        <v>16</v>
      </c>
      <c r="E8" s="21">
        <v>43831.541666666664</v>
      </c>
      <c r="F8" s="16" t="s">
        <v>11</v>
      </c>
      <c r="G8" s="6"/>
      <c r="H8" s="11" t="s">
        <v>79</v>
      </c>
      <c r="I8" s="16" t="s">
        <v>80</v>
      </c>
      <c r="J8" s="16" t="s">
        <v>14</v>
      </c>
      <c r="K8" s="21">
        <v>43831.5</v>
      </c>
      <c r="L8" s="16" t="s">
        <v>15</v>
      </c>
    </row>
    <row r="9" spans="2:12" x14ac:dyDescent="0.3">
      <c r="B9" s="11" t="s">
        <v>83</v>
      </c>
      <c r="C9" s="20" t="s">
        <v>84</v>
      </c>
      <c r="D9" s="16" t="s">
        <v>17</v>
      </c>
      <c r="E9" s="21">
        <v>43831.583333333336</v>
      </c>
      <c r="F9" s="16" t="s">
        <v>6</v>
      </c>
      <c r="G9" s="6"/>
      <c r="H9" s="11" t="s">
        <v>81</v>
      </c>
      <c r="I9" s="16" t="s">
        <v>82</v>
      </c>
      <c r="J9" s="16" t="s">
        <v>16</v>
      </c>
      <c r="K9" s="21">
        <v>43831.541666666664</v>
      </c>
      <c r="L9" s="16" t="s">
        <v>11</v>
      </c>
    </row>
    <row r="10" spans="2:12" x14ac:dyDescent="0.3">
      <c r="B10" s="11" t="s">
        <v>85</v>
      </c>
      <c r="C10" s="20" t="s">
        <v>86</v>
      </c>
      <c r="D10" s="16" t="s">
        <v>18</v>
      </c>
      <c r="E10" s="21">
        <v>43831.625</v>
      </c>
      <c r="F10" s="16" t="s">
        <v>9</v>
      </c>
      <c r="G10" s="6"/>
      <c r="H10" s="11" t="s">
        <v>83</v>
      </c>
      <c r="I10" s="16" t="s">
        <v>84</v>
      </c>
      <c r="J10" s="16" t="s">
        <v>17</v>
      </c>
      <c r="K10" s="21">
        <v>43831.583333333336</v>
      </c>
      <c r="L10" s="16" t="s">
        <v>6</v>
      </c>
    </row>
    <row r="11" spans="2:12" x14ac:dyDescent="0.3">
      <c r="B11" s="11" t="s">
        <v>87</v>
      </c>
      <c r="C11" s="20" t="s">
        <v>88</v>
      </c>
      <c r="D11" s="16" t="s">
        <v>20</v>
      </c>
      <c r="E11" s="21">
        <v>43831.666666666664</v>
      </c>
      <c r="F11" s="16" t="s">
        <v>19</v>
      </c>
      <c r="G11" s="6"/>
      <c r="H11" s="11" t="s">
        <v>85</v>
      </c>
      <c r="I11" s="16" t="s">
        <v>86</v>
      </c>
      <c r="J11" s="16" t="s">
        <v>18</v>
      </c>
      <c r="K11" s="21">
        <v>43831.625</v>
      </c>
      <c r="L11" s="16" t="s">
        <v>9</v>
      </c>
    </row>
    <row r="12" spans="2:12" x14ac:dyDescent="0.3">
      <c r="B12" s="11" t="s">
        <v>89</v>
      </c>
      <c r="C12" s="20" t="s">
        <v>90</v>
      </c>
      <c r="D12" s="16" t="s">
        <v>21</v>
      </c>
      <c r="E12" s="21">
        <v>43831.708333333336</v>
      </c>
      <c r="F12" s="16" t="s">
        <v>11</v>
      </c>
      <c r="G12" s="6"/>
      <c r="H12" s="11" t="s">
        <v>87</v>
      </c>
      <c r="I12" s="16" t="s">
        <v>88</v>
      </c>
      <c r="J12" s="16" t="s">
        <v>20</v>
      </c>
      <c r="K12" s="21">
        <v>43831.666666666664</v>
      </c>
      <c r="L12" s="16" t="s">
        <v>19</v>
      </c>
    </row>
    <row r="13" spans="2:12" x14ac:dyDescent="0.3">
      <c r="B13" s="11" t="s">
        <v>91</v>
      </c>
      <c r="C13" s="20" t="s">
        <v>92</v>
      </c>
      <c r="D13" s="16" t="s">
        <v>23</v>
      </c>
      <c r="E13" s="21">
        <v>43831.75</v>
      </c>
      <c r="F13" s="16" t="s">
        <v>19</v>
      </c>
      <c r="G13" s="6"/>
      <c r="H13" s="11" t="s">
        <v>89</v>
      </c>
      <c r="I13" s="16" t="s">
        <v>90</v>
      </c>
      <c r="J13" s="16" t="s">
        <v>21</v>
      </c>
      <c r="K13" s="21">
        <v>43831.708333333336</v>
      </c>
      <c r="L13" s="16" t="s">
        <v>11</v>
      </c>
    </row>
    <row r="14" spans="2:12" x14ac:dyDescent="0.3">
      <c r="B14" s="11" t="s">
        <v>93</v>
      </c>
      <c r="C14" s="20" t="s">
        <v>94</v>
      </c>
      <c r="D14" s="16" t="s">
        <v>24</v>
      </c>
      <c r="E14" s="21">
        <v>43831.791666666664</v>
      </c>
      <c r="F14" s="16" t="s">
        <v>6</v>
      </c>
      <c r="G14" s="6"/>
      <c r="H14" s="11" t="s">
        <v>91</v>
      </c>
      <c r="I14" s="16" t="s">
        <v>92</v>
      </c>
      <c r="J14" s="16" t="s">
        <v>23</v>
      </c>
      <c r="K14" s="21">
        <v>43831.75</v>
      </c>
      <c r="L14" s="16" t="s">
        <v>19</v>
      </c>
    </row>
    <row r="15" spans="2:12" x14ac:dyDescent="0.3">
      <c r="B15" s="11" t="s">
        <v>95</v>
      </c>
      <c r="C15" s="20" t="s">
        <v>96</v>
      </c>
      <c r="D15" s="16" t="s">
        <v>25</v>
      </c>
      <c r="E15" s="21">
        <v>43831.833333333336</v>
      </c>
      <c r="F15" s="16" t="s">
        <v>15</v>
      </c>
      <c r="G15" s="6"/>
    </row>
    <row r="16" spans="2:12" x14ac:dyDescent="0.3">
      <c r="B16" s="11" t="s">
        <v>97</v>
      </c>
      <c r="C16" s="20" t="s">
        <v>98</v>
      </c>
      <c r="D16" s="16" t="s">
        <v>26</v>
      </c>
      <c r="E16" s="21">
        <v>43831.875</v>
      </c>
      <c r="F16" s="16" t="s">
        <v>6</v>
      </c>
      <c r="G16" s="6"/>
    </row>
    <row r="17" spans="2:7" x14ac:dyDescent="0.3">
      <c r="B17" s="11" t="s">
        <v>99</v>
      </c>
      <c r="C17" s="20" t="s">
        <v>100</v>
      </c>
      <c r="D17" s="16" t="s">
        <v>27</v>
      </c>
      <c r="E17" s="21">
        <v>43831.916666666664</v>
      </c>
      <c r="F17" s="16" t="s">
        <v>6</v>
      </c>
      <c r="G17" s="6"/>
    </row>
    <row r="18" spans="2:7" x14ac:dyDescent="0.3">
      <c r="B18" s="11" t="s">
        <v>101</v>
      </c>
      <c r="C18" s="20" t="s">
        <v>102</v>
      </c>
      <c r="D18" s="16" t="s">
        <v>28</v>
      </c>
      <c r="E18" s="21">
        <v>43831.958333333336</v>
      </c>
      <c r="F18" s="16" t="s">
        <v>19</v>
      </c>
      <c r="G18" s="6"/>
    </row>
    <row r="19" spans="2:7" x14ac:dyDescent="0.3">
      <c r="B19" s="11" t="s">
        <v>103</v>
      </c>
      <c r="C19" s="20" t="s">
        <v>104</v>
      </c>
      <c r="D19" s="16" t="s">
        <v>29</v>
      </c>
      <c r="E19" s="21">
        <v>43832</v>
      </c>
      <c r="F19" s="16" t="s">
        <v>11</v>
      </c>
      <c r="G19" s="6"/>
    </row>
    <row r="20" spans="2:7" x14ac:dyDescent="0.3">
      <c r="B20" s="11" t="s">
        <v>105</v>
      </c>
      <c r="C20" s="20" t="s">
        <v>106</v>
      </c>
      <c r="D20" s="16" t="s">
        <v>30</v>
      </c>
      <c r="E20" s="21">
        <v>43832.041666666664</v>
      </c>
      <c r="F20" s="16" t="s">
        <v>19</v>
      </c>
      <c r="G20" s="6"/>
    </row>
    <row r="21" spans="2:7" x14ac:dyDescent="0.3">
      <c r="B21" s="11" t="s">
        <v>107</v>
      </c>
      <c r="C21" s="20" t="s">
        <v>108</v>
      </c>
      <c r="D21" s="16" t="s">
        <v>31</v>
      </c>
      <c r="E21" s="21">
        <v>43832.083333333336</v>
      </c>
      <c r="F21" s="16" t="s">
        <v>6</v>
      </c>
      <c r="G21" s="6"/>
    </row>
    <row r="22" spans="2:7" x14ac:dyDescent="0.3">
      <c r="B22" s="11" t="s">
        <v>109</v>
      </c>
      <c r="C22" s="20" t="s">
        <v>110</v>
      </c>
      <c r="D22" s="16" t="s">
        <v>33</v>
      </c>
      <c r="E22" s="21">
        <v>43832.125</v>
      </c>
      <c r="F22" s="16" t="s">
        <v>15</v>
      </c>
      <c r="G22" s="6"/>
    </row>
    <row r="23" spans="2:7" x14ac:dyDescent="0.3">
      <c r="B23" s="11" t="s">
        <v>111</v>
      </c>
      <c r="C23" s="20" t="s">
        <v>171</v>
      </c>
      <c r="D23" s="16" t="s">
        <v>34</v>
      </c>
      <c r="E23" s="21">
        <v>43831.333333333336</v>
      </c>
      <c r="F23" s="16" t="s">
        <v>6</v>
      </c>
    </row>
    <row r="24" spans="2:7" x14ac:dyDescent="0.3">
      <c r="B24" s="11" t="s">
        <v>112</v>
      </c>
      <c r="C24" s="20" t="s">
        <v>113</v>
      </c>
      <c r="D24" s="16" t="s">
        <v>35</v>
      </c>
      <c r="E24" s="21">
        <v>43831.375</v>
      </c>
      <c r="F24" s="16" t="s">
        <v>15</v>
      </c>
    </row>
    <row r="25" spans="2:7" x14ac:dyDescent="0.3">
      <c r="B25" s="11" t="s">
        <v>114</v>
      </c>
      <c r="C25" s="20" t="s">
        <v>115</v>
      </c>
      <c r="D25" s="16" t="s">
        <v>36</v>
      </c>
      <c r="E25" s="21">
        <v>43831.416666666664</v>
      </c>
      <c r="F25" s="16" t="s">
        <v>9</v>
      </c>
    </row>
    <row r="26" spans="2:7" x14ac:dyDescent="0.3">
      <c r="B26" s="11" t="s">
        <v>116</v>
      </c>
      <c r="C26" s="20" t="s">
        <v>117</v>
      </c>
      <c r="D26" s="16" t="s">
        <v>37</v>
      </c>
      <c r="E26" s="21">
        <v>43831.458333333336</v>
      </c>
      <c r="F26" s="16" t="s">
        <v>11</v>
      </c>
    </row>
    <row r="27" spans="2:7" x14ac:dyDescent="0.3">
      <c r="B27" s="11" t="s">
        <v>118</v>
      </c>
      <c r="C27" s="20" t="s">
        <v>119</v>
      </c>
      <c r="D27" s="16" t="s">
        <v>38</v>
      </c>
      <c r="E27" s="21">
        <v>43831.5</v>
      </c>
      <c r="F27" s="16" t="s">
        <v>6</v>
      </c>
    </row>
    <row r="28" spans="2:7" x14ac:dyDescent="0.3">
      <c r="B28" s="11" t="s">
        <v>120</v>
      </c>
      <c r="C28" s="20" t="s">
        <v>121</v>
      </c>
      <c r="D28" s="16" t="s">
        <v>39</v>
      </c>
      <c r="E28" s="21">
        <v>43831.541666666664</v>
      </c>
      <c r="F28" s="16" t="s">
        <v>6</v>
      </c>
    </row>
    <row r="29" spans="2:7" x14ac:dyDescent="0.3">
      <c r="B29" s="11" t="s">
        <v>122</v>
      </c>
      <c r="C29" s="20" t="s">
        <v>123</v>
      </c>
      <c r="D29" s="16" t="s">
        <v>40</v>
      </c>
      <c r="E29" s="21">
        <v>43831.583333333336</v>
      </c>
      <c r="F29" s="16" t="s">
        <v>6</v>
      </c>
    </row>
    <row r="30" spans="2:7" x14ac:dyDescent="0.3">
      <c r="B30" s="11" t="s">
        <v>124</v>
      </c>
      <c r="C30" s="20" t="s">
        <v>125</v>
      </c>
      <c r="D30" s="16" t="s">
        <v>41</v>
      </c>
      <c r="E30" s="21">
        <v>43831.625</v>
      </c>
      <c r="F30" s="16" t="s">
        <v>6</v>
      </c>
    </row>
    <row r="31" spans="2:7" x14ac:dyDescent="0.3">
      <c r="B31" s="11" t="s">
        <v>126</v>
      </c>
      <c r="C31" s="20" t="s">
        <v>127</v>
      </c>
      <c r="D31" s="16" t="s">
        <v>43</v>
      </c>
      <c r="E31" s="21">
        <v>43831.666666666664</v>
      </c>
      <c r="F31" s="16" t="s">
        <v>9</v>
      </c>
    </row>
    <row r="32" spans="2:7" x14ac:dyDescent="0.3">
      <c r="B32" s="11" t="s">
        <v>128</v>
      </c>
      <c r="C32" s="20" t="s">
        <v>129</v>
      </c>
      <c r="D32" s="16" t="s">
        <v>44</v>
      </c>
      <c r="E32" s="21">
        <v>43831.708333333336</v>
      </c>
      <c r="F32" s="16" t="s">
        <v>9</v>
      </c>
    </row>
    <row r="33" spans="2:6" x14ac:dyDescent="0.3">
      <c r="B33" s="11" t="s">
        <v>130</v>
      </c>
      <c r="C33" s="20" t="s">
        <v>131</v>
      </c>
      <c r="D33" s="16" t="s">
        <v>45</v>
      </c>
      <c r="E33" s="21">
        <v>43831.75</v>
      </c>
      <c r="F33" s="16" t="s">
        <v>6</v>
      </c>
    </row>
    <row r="34" spans="2:6" x14ac:dyDescent="0.3">
      <c r="B34" s="11" t="s">
        <v>132</v>
      </c>
      <c r="C34" s="20" t="s">
        <v>133</v>
      </c>
      <c r="D34" s="16" t="s">
        <v>46</v>
      </c>
      <c r="E34" s="21">
        <v>43831.791666666664</v>
      </c>
      <c r="F34" s="16" t="s">
        <v>9</v>
      </c>
    </row>
    <row r="35" spans="2:6" x14ac:dyDescent="0.3">
      <c r="B35" s="11" t="s">
        <v>134</v>
      </c>
      <c r="C35" s="20" t="s">
        <v>135</v>
      </c>
      <c r="D35" s="16" t="s">
        <v>47</v>
      </c>
      <c r="E35" s="21">
        <v>43831.833333333336</v>
      </c>
      <c r="F35" s="16" t="s">
        <v>11</v>
      </c>
    </row>
    <row r="36" spans="2:6" x14ac:dyDescent="0.3">
      <c r="B36" s="11" t="s">
        <v>136</v>
      </c>
      <c r="C36" s="20" t="s">
        <v>137</v>
      </c>
      <c r="D36" s="16" t="s">
        <v>48</v>
      </c>
      <c r="E36" s="21">
        <v>43831.875</v>
      </c>
      <c r="F36" s="16" t="s">
        <v>6</v>
      </c>
    </row>
    <row r="37" spans="2:6" x14ac:dyDescent="0.3">
      <c r="B37" s="11" t="s">
        <v>138</v>
      </c>
      <c r="C37" s="20" t="s">
        <v>139</v>
      </c>
      <c r="D37" s="16" t="s">
        <v>49</v>
      </c>
      <c r="E37" s="21">
        <v>43831.916666666664</v>
      </c>
      <c r="F37" s="16" t="s">
        <v>6</v>
      </c>
    </row>
    <row r="38" spans="2:6" x14ac:dyDescent="0.3">
      <c r="B38" s="11" t="s">
        <v>140</v>
      </c>
      <c r="C38" s="20" t="s">
        <v>141</v>
      </c>
      <c r="D38" s="16" t="s">
        <v>50</v>
      </c>
      <c r="E38" s="21">
        <v>43831.958333333336</v>
      </c>
      <c r="F38" s="16" t="s">
        <v>9</v>
      </c>
    </row>
    <row r="39" spans="2:6" x14ac:dyDescent="0.3">
      <c r="B39" s="11" t="s">
        <v>142</v>
      </c>
      <c r="C39" s="20" t="s">
        <v>143</v>
      </c>
      <c r="D39" s="16" t="s">
        <v>51</v>
      </c>
      <c r="E39" s="21">
        <v>43832</v>
      </c>
      <c r="F39" s="16" t="s">
        <v>6</v>
      </c>
    </row>
    <row r="40" spans="2:6" x14ac:dyDescent="0.3">
      <c r="B40" s="11" t="s">
        <v>144</v>
      </c>
      <c r="C40" s="20" t="s">
        <v>145</v>
      </c>
      <c r="D40" s="16" t="s">
        <v>52</v>
      </c>
      <c r="E40" s="21">
        <v>43832.041666666664</v>
      </c>
      <c r="F40" s="16" t="s">
        <v>6</v>
      </c>
    </row>
    <row r="41" spans="2:6" x14ac:dyDescent="0.3">
      <c r="B41" s="11" t="s">
        <v>146</v>
      </c>
      <c r="C41" s="20" t="s">
        <v>147</v>
      </c>
      <c r="D41" s="16" t="s">
        <v>53</v>
      </c>
      <c r="E41" s="21">
        <v>43832.083333333336</v>
      </c>
      <c r="F41" s="16" t="s">
        <v>9</v>
      </c>
    </row>
    <row r="42" spans="2:6" x14ac:dyDescent="0.3">
      <c r="B42" s="11" t="s">
        <v>148</v>
      </c>
      <c r="C42" s="20" t="s">
        <v>149</v>
      </c>
      <c r="D42" s="16" t="s">
        <v>54</v>
      </c>
      <c r="E42" s="21">
        <v>43832.125</v>
      </c>
      <c r="F42" s="16" t="s">
        <v>9</v>
      </c>
    </row>
    <row r="43" spans="2:6" x14ac:dyDescent="0.3">
      <c r="B43" s="11" t="s">
        <v>150</v>
      </c>
      <c r="C43" s="20" t="s">
        <v>151</v>
      </c>
      <c r="D43" s="16" t="s">
        <v>55</v>
      </c>
      <c r="E43" s="21">
        <v>43831.909723263889</v>
      </c>
      <c r="F43" s="16" t="s">
        <v>15</v>
      </c>
    </row>
    <row r="44" spans="2:6" x14ac:dyDescent="0.3">
      <c r="B44" s="11" t="s">
        <v>152</v>
      </c>
      <c r="C44" s="20" t="s">
        <v>153</v>
      </c>
      <c r="D44" s="16" t="s">
        <v>56</v>
      </c>
      <c r="E44" s="21">
        <v>43831.937501099535</v>
      </c>
      <c r="F44" s="16" t="s">
        <v>6</v>
      </c>
    </row>
    <row r="45" spans="2:6" x14ac:dyDescent="0.3">
      <c r="B45" s="11" t="s">
        <v>154</v>
      </c>
      <c r="C45" s="20" t="s">
        <v>155</v>
      </c>
      <c r="D45" s="16" t="s">
        <v>57</v>
      </c>
      <c r="E45" s="21">
        <v>43831.965278935182</v>
      </c>
      <c r="F45" s="16" t="s">
        <v>6</v>
      </c>
    </row>
    <row r="46" spans="2:6" x14ac:dyDescent="0.3">
      <c r="B46" s="11" t="s">
        <v>156</v>
      </c>
      <c r="C46" s="20" t="s">
        <v>157</v>
      </c>
      <c r="D46" s="16" t="s">
        <v>58</v>
      </c>
      <c r="E46" s="21">
        <v>43831.993056770836</v>
      </c>
      <c r="F46" s="16" t="s">
        <v>6</v>
      </c>
    </row>
    <row r="47" spans="2:6" x14ac:dyDescent="0.3">
      <c r="B47" s="11" t="s">
        <v>158</v>
      </c>
      <c r="C47" s="20" t="s">
        <v>159</v>
      </c>
      <c r="D47" s="16" t="s">
        <v>59</v>
      </c>
      <c r="E47" s="21">
        <v>43832.020834606483</v>
      </c>
      <c r="F47" s="16" t="s">
        <v>9</v>
      </c>
    </row>
    <row r="48" spans="2:6" x14ac:dyDescent="0.3">
      <c r="B48" s="11" t="s">
        <v>160</v>
      </c>
      <c r="C48" s="20" t="s">
        <v>161</v>
      </c>
      <c r="D48" s="16" t="s">
        <v>60</v>
      </c>
      <c r="E48" s="21">
        <v>43832.04861244213</v>
      </c>
      <c r="F48" s="16" t="s">
        <v>15</v>
      </c>
    </row>
    <row r="49" spans="2:6" x14ac:dyDescent="0.3">
      <c r="B49" s="11" t="s">
        <v>162</v>
      </c>
      <c r="C49" s="20" t="s">
        <v>163</v>
      </c>
      <c r="D49" s="16" t="s">
        <v>61</v>
      </c>
      <c r="E49" s="21">
        <v>43832.076390277776</v>
      </c>
      <c r="F49" s="16" t="s">
        <v>6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pageSetUpPr fitToPage="1"/>
  </sheetPr>
  <dimension ref="B2:J49"/>
  <sheetViews>
    <sheetView topLeftCell="C1" workbookViewId="0">
      <selection activeCell="I11" sqref="I11"/>
    </sheetView>
  </sheetViews>
  <sheetFormatPr defaultRowHeight="16.5" x14ac:dyDescent="0.3"/>
  <cols>
    <col min="1" max="2" width="10" style="6" customWidth="1"/>
    <col min="3" max="3" width="8.25" style="6" customWidth="1"/>
    <col min="4" max="4" width="9.125" style="6" customWidth="1"/>
    <col min="5" max="5" width="8.25" style="6" customWidth="1"/>
    <col min="6" max="6" width="9.125" style="6" customWidth="1"/>
    <col min="7" max="7" width="9.375" style="6" customWidth="1"/>
    <col min="8" max="8" width="9.25" style="6" customWidth="1"/>
    <col min="9" max="9" width="8.75" style="6" customWidth="1"/>
    <col min="10" max="10" width="9.375" customWidth="1"/>
    <col min="11" max="11" width="10" style="6" customWidth="1"/>
    <col min="12" max="12" width="7.5" style="6" customWidth="1"/>
    <col min="13" max="13" width="7.25" style="6" customWidth="1"/>
    <col min="14" max="14" width="7.75" style="6" customWidth="1"/>
    <col min="15" max="16384" width="9" style="6"/>
  </cols>
  <sheetData>
    <row r="2" spans="2:9" x14ac:dyDescent="0.3">
      <c r="B2" s="22" t="s">
        <v>172</v>
      </c>
      <c r="C2" s="22" t="s">
        <v>173</v>
      </c>
      <c r="D2" s="22" t="s">
        <v>2</v>
      </c>
      <c r="E2" s="22" t="s">
        <v>164</v>
      </c>
      <c r="F2" s="22" t="s">
        <v>174</v>
      </c>
      <c r="G2" s="22" t="s">
        <v>165</v>
      </c>
      <c r="H2" s="22" t="s">
        <v>175</v>
      </c>
      <c r="I2" s="22" t="s">
        <v>176</v>
      </c>
    </row>
    <row r="3" spans="2:9" x14ac:dyDescent="0.3">
      <c r="B3" s="16" t="s">
        <v>177</v>
      </c>
      <c r="C3" s="16">
        <v>101</v>
      </c>
      <c r="D3" s="16" t="s">
        <v>37</v>
      </c>
      <c r="E3" s="16">
        <v>80</v>
      </c>
      <c r="F3" s="16">
        <v>70</v>
      </c>
      <c r="G3" s="16">
        <f t="shared" ref="G3:G49" si="0">E3+F3</f>
        <v>150</v>
      </c>
      <c r="H3" s="16" t="s">
        <v>6</v>
      </c>
      <c r="I3" s="16" t="s">
        <v>178</v>
      </c>
    </row>
    <row r="4" spans="2:9" x14ac:dyDescent="0.3">
      <c r="B4" s="16" t="s">
        <v>179</v>
      </c>
      <c r="C4" s="16">
        <v>102</v>
      </c>
      <c r="D4" s="16" t="s">
        <v>38</v>
      </c>
      <c r="E4" s="16">
        <v>90</v>
      </c>
      <c r="F4" s="16">
        <v>80</v>
      </c>
      <c r="G4" s="16">
        <f t="shared" si="0"/>
        <v>170</v>
      </c>
      <c r="H4" s="16" t="s">
        <v>9</v>
      </c>
      <c r="I4" s="16" t="s">
        <v>7</v>
      </c>
    </row>
    <row r="5" spans="2:9" x14ac:dyDescent="0.3">
      <c r="B5" s="16" t="s">
        <v>180</v>
      </c>
      <c r="C5" s="16">
        <v>103</v>
      </c>
      <c r="D5" s="16" t="s">
        <v>39</v>
      </c>
      <c r="E5" s="16">
        <v>60</v>
      </c>
      <c r="F5" s="16">
        <v>60</v>
      </c>
      <c r="G5" s="16">
        <f t="shared" si="0"/>
        <v>120</v>
      </c>
      <c r="H5" s="16" t="s">
        <v>11</v>
      </c>
      <c r="I5" s="16" t="s">
        <v>7</v>
      </c>
    </row>
    <row r="6" spans="2:9" x14ac:dyDescent="0.3">
      <c r="B6" s="16" t="s">
        <v>181</v>
      </c>
      <c r="C6" s="16">
        <v>104</v>
      </c>
      <c r="D6" s="16" t="s">
        <v>40</v>
      </c>
      <c r="E6" s="16">
        <v>80</v>
      </c>
      <c r="F6" s="16">
        <v>90</v>
      </c>
      <c r="G6" s="16">
        <f t="shared" si="0"/>
        <v>170</v>
      </c>
      <c r="H6" s="16" t="s">
        <v>9</v>
      </c>
      <c r="I6" s="16" t="s">
        <v>13</v>
      </c>
    </row>
    <row r="7" spans="2:9" x14ac:dyDescent="0.3">
      <c r="B7" s="16" t="s">
        <v>182</v>
      </c>
      <c r="C7" s="16">
        <v>105</v>
      </c>
      <c r="D7" s="16" t="s">
        <v>41</v>
      </c>
      <c r="E7" s="16">
        <v>90</v>
      </c>
      <c r="F7" s="16">
        <v>50</v>
      </c>
      <c r="G7" s="16">
        <f t="shared" si="0"/>
        <v>140</v>
      </c>
      <c r="H7" s="16" t="s">
        <v>15</v>
      </c>
      <c r="I7" s="16" t="s">
        <v>13</v>
      </c>
    </row>
    <row r="8" spans="2:9" x14ac:dyDescent="0.3">
      <c r="B8" s="16" t="s">
        <v>183</v>
      </c>
      <c r="C8" s="16">
        <v>106</v>
      </c>
      <c r="D8" s="16" t="s">
        <v>43</v>
      </c>
      <c r="E8" s="16">
        <v>75</v>
      </c>
      <c r="F8" s="16">
        <v>50</v>
      </c>
      <c r="G8" s="16">
        <f t="shared" si="0"/>
        <v>125</v>
      </c>
      <c r="H8" s="16" t="s">
        <v>11</v>
      </c>
      <c r="I8" s="16" t="s">
        <v>13</v>
      </c>
    </row>
    <row r="9" spans="2:9" x14ac:dyDescent="0.3">
      <c r="B9" s="16" t="s">
        <v>184</v>
      </c>
      <c r="C9" s="16">
        <v>107</v>
      </c>
      <c r="D9" s="16" t="s">
        <v>44</v>
      </c>
      <c r="E9" s="16">
        <v>80</v>
      </c>
      <c r="F9" s="16">
        <v>60</v>
      </c>
      <c r="G9" s="16">
        <f t="shared" si="0"/>
        <v>140</v>
      </c>
      <c r="H9" s="16" t="s">
        <v>6</v>
      </c>
      <c r="I9" s="16" t="s">
        <v>13</v>
      </c>
    </row>
    <row r="10" spans="2:9" x14ac:dyDescent="0.3">
      <c r="B10" s="16" t="s">
        <v>185</v>
      </c>
      <c r="C10" s="16">
        <v>108</v>
      </c>
      <c r="D10" s="16" t="s">
        <v>45</v>
      </c>
      <c r="E10" s="16">
        <v>85</v>
      </c>
      <c r="F10" s="16">
        <v>80</v>
      </c>
      <c r="G10" s="16">
        <f t="shared" si="0"/>
        <v>165</v>
      </c>
      <c r="H10" s="16" t="s">
        <v>9</v>
      </c>
      <c r="I10" s="16" t="s">
        <v>13</v>
      </c>
    </row>
    <row r="11" spans="2:9" x14ac:dyDescent="0.3">
      <c r="B11" s="16" t="s">
        <v>186</v>
      </c>
      <c r="C11" s="16">
        <v>109</v>
      </c>
      <c r="D11" s="16" t="s">
        <v>46</v>
      </c>
      <c r="E11" s="16">
        <v>60</v>
      </c>
      <c r="F11" s="16">
        <v>55</v>
      </c>
      <c r="G11" s="16">
        <f t="shared" si="0"/>
        <v>115</v>
      </c>
      <c r="H11" s="16" t="s">
        <v>19</v>
      </c>
      <c r="I11" s="16" t="s">
        <v>13</v>
      </c>
    </row>
    <row r="12" spans="2:9" x14ac:dyDescent="0.3">
      <c r="B12" s="16" t="s">
        <v>187</v>
      </c>
      <c r="C12" s="16">
        <v>110</v>
      </c>
      <c r="D12" s="16" t="s">
        <v>47</v>
      </c>
      <c r="E12" s="16">
        <v>40</v>
      </c>
      <c r="F12" s="16">
        <v>80</v>
      </c>
      <c r="G12" s="16">
        <f t="shared" si="0"/>
        <v>120</v>
      </c>
      <c r="H12" s="16" t="s">
        <v>11</v>
      </c>
      <c r="I12" s="16" t="s">
        <v>13</v>
      </c>
    </row>
    <row r="13" spans="2:9" x14ac:dyDescent="0.3">
      <c r="B13" s="16" t="s">
        <v>188</v>
      </c>
      <c r="C13" s="16">
        <v>201</v>
      </c>
      <c r="D13" s="16" t="s">
        <v>48</v>
      </c>
      <c r="E13" s="16">
        <v>20</v>
      </c>
      <c r="F13" s="16">
        <v>80</v>
      </c>
      <c r="G13" s="16">
        <f t="shared" si="0"/>
        <v>100</v>
      </c>
      <c r="H13" s="16" t="s">
        <v>19</v>
      </c>
      <c r="I13" s="16" t="s">
        <v>22</v>
      </c>
    </row>
    <row r="14" spans="2:9" x14ac:dyDescent="0.3">
      <c r="B14" s="16" t="s">
        <v>189</v>
      </c>
      <c r="C14" s="16">
        <v>202</v>
      </c>
      <c r="D14" s="16" t="s">
        <v>49</v>
      </c>
      <c r="E14" s="16">
        <v>80</v>
      </c>
      <c r="F14" s="16">
        <v>70</v>
      </c>
      <c r="G14" s="16">
        <f t="shared" si="0"/>
        <v>150</v>
      </c>
      <c r="H14" s="16" t="s">
        <v>6</v>
      </c>
      <c r="I14" s="16" t="s">
        <v>22</v>
      </c>
    </row>
    <row r="15" spans="2:9" x14ac:dyDescent="0.3">
      <c r="B15" s="16" t="s">
        <v>190</v>
      </c>
      <c r="C15" s="16">
        <v>203</v>
      </c>
      <c r="D15" s="16" t="s">
        <v>50</v>
      </c>
      <c r="E15" s="16">
        <v>90</v>
      </c>
      <c r="F15" s="16">
        <v>90</v>
      </c>
      <c r="G15" s="16">
        <f t="shared" si="0"/>
        <v>180</v>
      </c>
      <c r="H15" s="16" t="s">
        <v>15</v>
      </c>
      <c r="I15" s="16" t="s">
        <v>22</v>
      </c>
    </row>
    <row r="16" spans="2:9" x14ac:dyDescent="0.3">
      <c r="B16" s="16" t="s">
        <v>191</v>
      </c>
      <c r="C16" s="16">
        <v>204</v>
      </c>
      <c r="D16" s="16" t="s">
        <v>51</v>
      </c>
      <c r="E16" s="16">
        <v>95</v>
      </c>
      <c r="F16" s="16">
        <v>50</v>
      </c>
      <c r="G16" s="16">
        <f t="shared" si="0"/>
        <v>145</v>
      </c>
      <c r="H16" s="16" t="s">
        <v>6</v>
      </c>
      <c r="I16" s="16" t="s">
        <v>22</v>
      </c>
    </row>
    <row r="17" spans="2:9" x14ac:dyDescent="0.3">
      <c r="B17" s="16" t="s">
        <v>192</v>
      </c>
      <c r="C17" s="16">
        <v>205</v>
      </c>
      <c r="D17" s="16" t="s">
        <v>52</v>
      </c>
      <c r="E17" s="16">
        <v>85</v>
      </c>
      <c r="F17" s="16">
        <v>65</v>
      </c>
      <c r="G17" s="16">
        <f t="shared" si="0"/>
        <v>150</v>
      </c>
      <c r="H17" s="16" t="s">
        <v>6</v>
      </c>
      <c r="I17" s="16" t="s">
        <v>22</v>
      </c>
    </row>
    <row r="18" spans="2:9" x14ac:dyDescent="0.3">
      <c r="B18" s="16" t="s">
        <v>193</v>
      </c>
      <c r="C18" s="16">
        <v>206</v>
      </c>
      <c r="D18" s="16" t="s">
        <v>53</v>
      </c>
      <c r="E18" s="16">
        <v>50</v>
      </c>
      <c r="F18" s="16">
        <v>50</v>
      </c>
      <c r="G18" s="16">
        <f t="shared" si="0"/>
        <v>100</v>
      </c>
      <c r="H18" s="16" t="s">
        <v>19</v>
      </c>
      <c r="I18" s="16" t="s">
        <v>22</v>
      </c>
    </row>
    <row r="19" spans="2:9" x14ac:dyDescent="0.3">
      <c r="B19" s="16" t="s">
        <v>194</v>
      </c>
      <c r="C19" s="16">
        <v>207</v>
      </c>
      <c r="D19" s="16" t="s">
        <v>54</v>
      </c>
      <c r="E19" s="16">
        <v>45</v>
      </c>
      <c r="F19" s="16">
        <v>85</v>
      </c>
      <c r="G19" s="16">
        <f t="shared" si="0"/>
        <v>130</v>
      </c>
      <c r="H19" s="16" t="s">
        <v>11</v>
      </c>
      <c r="I19" s="16" t="s">
        <v>22</v>
      </c>
    </row>
    <row r="20" spans="2:9" x14ac:dyDescent="0.3">
      <c r="B20" s="16" t="s">
        <v>195</v>
      </c>
      <c r="C20" s="16">
        <v>208</v>
      </c>
      <c r="D20" s="16" t="s">
        <v>55</v>
      </c>
      <c r="E20" s="16">
        <v>50</v>
      </c>
      <c r="F20" s="16">
        <v>65</v>
      </c>
      <c r="G20" s="16">
        <f t="shared" si="0"/>
        <v>115</v>
      </c>
      <c r="H20" s="16" t="s">
        <v>19</v>
      </c>
      <c r="I20" s="16" t="s">
        <v>22</v>
      </c>
    </row>
    <row r="21" spans="2:9" x14ac:dyDescent="0.3">
      <c r="B21" s="16" t="s">
        <v>196</v>
      </c>
      <c r="C21" s="16">
        <v>209</v>
      </c>
      <c r="D21" s="16" t="s">
        <v>56</v>
      </c>
      <c r="E21" s="16">
        <v>55</v>
      </c>
      <c r="F21" s="16">
        <v>85</v>
      </c>
      <c r="G21" s="16">
        <f t="shared" si="0"/>
        <v>140</v>
      </c>
      <c r="H21" s="16" t="s">
        <v>6</v>
      </c>
      <c r="I21" s="16" t="s">
        <v>22</v>
      </c>
    </row>
    <row r="22" spans="2:9" x14ac:dyDescent="0.3">
      <c r="B22" s="16" t="s">
        <v>197</v>
      </c>
      <c r="C22" s="16">
        <v>210</v>
      </c>
      <c r="D22" s="16" t="s">
        <v>57</v>
      </c>
      <c r="E22" s="16">
        <v>100</v>
      </c>
      <c r="F22" s="16">
        <v>90</v>
      </c>
      <c r="G22" s="16">
        <f t="shared" si="0"/>
        <v>190</v>
      </c>
      <c r="H22" s="16" t="s">
        <v>15</v>
      </c>
      <c r="I22" s="16" t="s">
        <v>32</v>
      </c>
    </row>
    <row r="23" spans="2:9" x14ac:dyDescent="0.3">
      <c r="B23" s="16" t="s">
        <v>198</v>
      </c>
      <c r="C23" s="16">
        <v>301</v>
      </c>
      <c r="D23" s="16" t="s">
        <v>58</v>
      </c>
      <c r="E23" s="16">
        <v>50</v>
      </c>
      <c r="F23" s="16">
        <v>90</v>
      </c>
      <c r="G23" s="16">
        <f t="shared" si="0"/>
        <v>140</v>
      </c>
      <c r="H23" s="16" t="s">
        <v>6</v>
      </c>
      <c r="I23" s="16" t="s">
        <v>32</v>
      </c>
    </row>
    <row r="24" spans="2:9" x14ac:dyDescent="0.3">
      <c r="B24" s="16" t="s">
        <v>199</v>
      </c>
      <c r="C24" s="16">
        <v>302</v>
      </c>
      <c r="D24" s="16" t="s">
        <v>59</v>
      </c>
      <c r="E24" s="16">
        <v>90</v>
      </c>
      <c r="F24" s="16">
        <v>95</v>
      </c>
      <c r="G24" s="16">
        <f t="shared" si="0"/>
        <v>185</v>
      </c>
      <c r="H24" s="16" t="s">
        <v>15</v>
      </c>
      <c r="I24" s="16" t="s">
        <v>32</v>
      </c>
    </row>
    <row r="25" spans="2:9" x14ac:dyDescent="0.3">
      <c r="B25" s="16" t="s">
        <v>200</v>
      </c>
      <c r="C25" s="16">
        <v>303</v>
      </c>
      <c r="D25" s="16" t="s">
        <v>60</v>
      </c>
      <c r="E25" s="16">
        <v>80</v>
      </c>
      <c r="F25" s="16">
        <v>95</v>
      </c>
      <c r="G25" s="16">
        <f t="shared" si="0"/>
        <v>175</v>
      </c>
      <c r="H25" s="16" t="s">
        <v>9</v>
      </c>
      <c r="I25" s="16" t="s">
        <v>32</v>
      </c>
    </row>
    <row r="26" spans="2:9" x14ac:dyDescent="0.3">
      <c r="B26" s="16" t="s">
        <v>201</v>
      </c>
      <c r="C26" s="16">
        <v>304</v>
      </c>
      <c r="D26" s="16" t="s">
        <v>61</v>
      </c>
      <c r="E26" s="16">
        <v>60</v>
      </c>
      <c r="F26" s="16">
        <v>65</v>
      </c>
      <c r="G26" s="16">
        <f t="shared" si="0"/>
        <v>125</v>
      </c>
      <c r="H26" s="16" t="s">
        <v>11</v>
      </c>
      <c r="I26" s="16" t="s">
        <v>32</v>
      </c>
    </row>
    <row r="27" spans="2:9" x14ac:dyDescent="0.3">
      <c r="B27" s="16" t="s">
        <v>202</v>
      </c>
      <c r="C27" s="16">
        <v>305</v>
      </c>
      <c r="D27" s="16" t="s">
        <v>8</v>
      </c>
      <c r="E27" s="16">
        <v>65</v>
      </c>
      <c r="F27" s="16">
        <v>75</v>
      </c>
      <c r="G27" s="16">
        <f t="shared" si="0"/>
        <v>140</v>
      </c>
      <c r="H27" s="16" t="s">
        <v>6</v>
      </c>
      <c r="I27" s="16" t="s">
        <v>32</v>
      </c>
    </row>
    <row r="28" spans="2:9" x14ac:dyDescent="0.3">
      <c r="B28" s="16" t="s">
        <v>203</v>
      </c>
      <c r="C28" s="16">
        <v>306</v>
      </c>
      <c r="D28" s="16" t="s">
        <v>10</v>
      </c>
      <c r="E28" s="16">
        <v>80</v>
      </c>
      <c r="F28" s="16">
        <v>70</v>
      </c>
      <c r="G28" s="16">
        <f t="shared" si="0"/>
        <v>150</v>
      </c>
      <c r="H28" s="16" t="s">
        <v>6</v>
      </c>
      <c r="I28" s="16" t="s">
        <v>32</v>
      </c>
    </row>
    <row r="29" spans="2:9" x14ac:dyDescent="0.3">
      <c r="B29" s="16" t="s">
        <v>204</v>
      </c>
      <c r="C29" s="16">
        <v>307</v>
      </c>
      <c r="D29" s="16" t="s">
        <v>12</v>
      </c>
      <c r="E29" s="16">
        <v>90</v>
      </c>
      <c r="F29" s="16">
        <v>50</v>
      </c>
      <c r="G29" s="16">
        <f t="shared" si="0"/>
        <v>140</v>
      </c>
      <c r="H29" s="16" t="s">
        <v>6</v>
      </c>
      <c r="I29" s="16" t="s">
        <v>32</v>
      </c>
    </row>
    <row r="30" spans="2:9" x14ac:dyDescent="0.3">
      <c r="B30" s="16" t="s">
        <v>205</v>
      </c>
      <c r="C30" s="16">
        <v>308</v>
      </c>
      <c r="D30" s="16" t="s">
        <v>14</v>
      </c>
      <c r="E30" s="16">
        <v>95</v>
      </c>
      <c r="F30" s="16">
        <v>55</v>
      </c>
      <c r="G30" s="16">
        <f t="shared" si="0"/>
        <v>150</v>
      </c>
      <c r="H30" s="16" t="s">
        <v>6</v>
      </c>
      <c r="I30" s="16" t="s">
        <v>32</v>
      </c>
    </row>
    <row r="31" spans="2:9" x14ac:dyDescent="0.3">
      <c r="B31" s="16" t="s">
        <v>206</v>
      </c>
      <c r="C31" s="16">
        <v>309</v>
      </c>
      <c r="D31" s="16" t="s">
        <v>14</v>
      </c>
      <c r="E31" s="16">
        <v>80</v>
      </c>
      <c r="F31" s="16">
        <v>90</v>
      </c>
      <c r="G31" s="16">
        <f t="shared" si="0"/>
        <v>170</v>
      </c>
      <c r="H31" s="16" t="s">
        <v>9</v>
      </c>
      <c r="I31" s="16" t="s">
        <v>42</v>
      </c>
    </row>
    <row r="32" spans="2:9" x14ac:dyDescent="0.3">
      <c r="B32" s="16" t="s">
        <v>207</v>
      </c>
      <c r="C32" s="16">
        <v>310</v>
      </c>
      <c r="D32" s="16" t="s">
        <v>16</v>
      </c>
      <c r="E32" s="16">
        <v>75</v>
      </c>
      <c r="F32" s="16">
        <v>90</v>
      </c>
      <c r="G32" s="16">
        <f t="shared" si="0"/>
        <v>165</v>
      </c>
      <c r="H32" s="16" t="s">
        <v>9</v>
      </c>
      <c r="I32" s="16" t="s">
        <v>42</v>
      </c>
    </row>
    <row r="33" spans="2:9" x14ac:dyDescent="0.3">
      <c r="B33" s="16" t="s">
        <v>208</v>
      </c>
      <c r="C33" s="16">
        <v>401</v>
      </c>
      <c r="D33" s="16" t="s">
        <v>17</v>
      </c>
      <c r="E33" s="16">
        <v>80</v>
      </c>
      <c r="F33" s="16">
        <v>65</v>
      </c>
      <c r="G33" s="16">
        <f t="shared" si="0"/>
        <v>145</v>
      </c>
      <c r="H33" s="16" t="s">
        <v>6</v>
      </c>
      <c r="I33" s="16" t="s">
        <v>42</v>
      </c>
    </row>
    <row r="34" spans="2:9" x14ac:dyDescent="0.3">
      <c r="B34" s="16" t="s">
        <v>209</v>
      </c>
      <c r="C34" s="16">
        <v>402</v>
      </c>
      <c r="D34" s="16" t="s">
        <v>18</v>
      </c>
      <c r="E34" s="16">
        <v>70</v>
      </c>
      <c r="F34" s="16">
        <v>90</v>
      </c>
      <c r="G34" s="16">
        <f t="shared" si="0"/>
        <v>160</v>
      </c>
      <c r="H34" s="16" t="s">
        <v>9</v>
      </c>
      <c r="I34" s="16" t="s">
        <v>42</v>
      </c>
    </row>
    <row r="35" spans="2:9" x14ac:dyDescent="0.3">
      <c r="B35" s="16" t="s">
        <v>210</v>
      </c>
      <c r="C35" s="16">
        <v>403</v>
      </c>
      <c r="D35" s="16" t="s">
        <v>20</v>
      </c>
      <c r="E35" s="16">
        <v>80</v>
      </c>
      <c r="F35" s="16">
        <v>40</v>
      </c>
      <c r="G35" s="16">
        <f t="shared" si="0"/>
        <v>120</v>
      </c>
      <c r="H35" s="16" t="s">
        <v>11</v>
      </c>
      <c r="I35" s="16" t="s">
        <v>42</v>
      </c>
    </row>
    <row r="36" spans="2:9" x14ac:dyDescent="0.3">
      <c r="B36" s="16" t="s">
        <v>211</v>
      </c>
      <c r="C36" s="16">
        <v>404</v>
      </c>
      <c r="D36" s="16" t="s">
        <v>21</v>
      </c>
      <c r="E36" s="16">
        <v>65</v>
      </c>
      <c r="F36" s="16">
        <v>90</v>
      </c>
      <c r="G36" s="16">
        <f t="shared" si="0"/>
        <v>155</v>
      </c>
      <c r="H36" s="16" t="s">
        <v>6</v>
      </c>
      <c r="I36" s="16" t="s">
        <v>42</v>
      </c>
    </row>
    <row r="37" spans="2:9" x14ac:dyDescent="0.3">
      <c r="B37" s="16" t="s">
        <v>212</v>
      </c>
      <c r="C37" s="16">
        <v>405</v>
      </c>
      <c r="D37" s="16" t="s">
        <v>23</v>
      </c>
      <c r="E37" s="16">
        <v>60</v>
      </c>
      <c r="F37" s="16">
        <v>95</v>
      </c>
      <c r="G37" s="16">
        <f t="shared" si="0"/>
        <v>155</v>
      </c>
      <c r="H37" s="16" t="s">
        <v>6</v>
      </c>
      <c r="I37" s="16" t="s">
        <v>42</v>
      </c>
    </row>
    <row r="38" spans="2:9" x14ac:dyDescent="0.3">
      <c r="B38" s="16" t="s">
        <v>213</v>
      </c>
      <c r="C38" s="16">
        <v>406</v>
      </c>
      <c r="D38" s="16" t="s">
        <v>24</v>
      </c>
      <c r="E38" s="16">
        <v>90</v>
      </c>
      <c r="F38" s="16">
        <v>80</v>
      </c>
      <c r="G38" s="16">
        <f t="shared" si="0"/>
        <v>170</v>
      </c>
      <c r="H38" s="16" t="s">
        <v>9</v>
      </c>
      <c r="I38" s="16" t="s">
        <v>42</v>
      </c>
    </row>
    <row r="39" spans="2:9" x14ac:dyDescent="0.3">
      <c r="B39" s="16" t="s">
        <v>214</v>
      </c>
      <c r="C39" s="16">
        <v>407</v>
      </c>
      <c r="D39" s="16" t="s">
        <v>25</v>
      </c>
      <c r="E39" s="16">
        <v>90</v>
      </c>
      <c r="F39" s="16">
        <v>50</v>
      </c>
      <c r="G39" s="16">
        <f t="shared" si="0"/>
        <v>140</v>
      </c>
      <c r="H39" s="16" t="s">
        <v>6</v>
      </c>
      <c r="I39" s="16" t="s">
        <v>42</v>
      </c>
    </row>
    <row r="40" spans="2:9" x14ac:dyDescent="0.3">
      <c r="B40" s="16" t="s">
        <v>215</v>
      </c>
      <c r="C40" s="16">
        <v>408</v>
      </c>
      <c r="D40" s="16" t="s">
        <v>26</v>
      </c>
      <c r="E40" s="16">
        <v>95</v>
      </c>
      <c r="F40" s="16">
        <v>60</v>
      </c>
      <c r="G40" s="16">
        <f t="shared" si="0"/>
        <v>155</v>
      </c>
      <c r="H40" s="16" t="s">
        <v>6</v>
      </c>
      <c r="I40" s="16" t="s">
        <v>42</v>
      </c>
    </row>
    <row r="41" spans="2:9" x14ac:dyDescent="0.3">
      <c r="B41" s="16" t="s">
        <v>216</v>
      </c>
      <c r="C41" s="16">
        <v>409</v>
      </c>
      <c r="D41" s="16" t="s">
        <v>27</v>
      </c>
      <c r="E41" s="16">
        <v>90</v>
      </c>
      <c r="F41" s="16">
        <v>75</v>
      </c>
      <c r="G41" s="16">
        <f t="shared" si="0"/>
        <v>165</v>
      </c>
      <c r="H41" s="16" t="s">
        <v>9</v>
      </c>
      <c r="I41" s="16" t="s">
        <v>42</v>
      </c>
    </row>
    <row r="42" spans="2:9" x14ac:dyDescent="0.3">
      <c r="B42" s="16" t="s">
        <v>217</v>
      </c>
      <c r="C42" s="16">
        <v>410</v>
      </c>
      <c r="D42" s="16" t="s">
        <v>28</v>
      </c>
      <c r="E42" s="16">
        <v>95</v>
      </c>
      <c r="F42" s="16">
        <v>75</v>
      </c>
      <c r="G42" s="16">
        <f t="shared" si="0"/>
        <v>170</v>
      </c>
      <c r="H42" s="16" t="s">
        <v>9</v>
      </c>
      <c r="I42" s="16" t="s">
        <v>42</v>
      </c>
    </row>
    <row r="43" spans="2:9" x14ac:dyDescent="0.3">
      <c r="B43" s="16" t="s">
        <v>218</v>
      </c>
      <c r="C43" s="16">
        <v>411</v>
      </c>
      <c r="D43" s="16" t="s">
        <v>29</v>
      </c>
      <c r="E43" s="16">
        <v>100</v>
      </c>
      <c r="F43" s="16">
        <v>80</v>
      </c>
      <c r="G43" s="16">
        <f t="shared" si="0"/>
        <v>180</v>
      </c>
      <c r="H43" s="16" t="s">
        <v>15</v>
      </c>
      <c r="I43" s="16" t="s">
        <v>42</v>
      </c>
    </row>
    <row r="44" spans="2:9" x14ac:dyDescent="0.3">
      <c r="B44" s="16" t="s">
        <v>219</v>
      </c>
      <c r="C44" s="16">
        <v>412</v>
      </c>
      <c r="D44" s="16" t="s">
        <v>30</v>
      </c>
      <c r="E44" s="16">
        <v>80</v>
      </c>
      <c r="F44" s="16">
        <v>70</v>
      </c>
      <c r="G44" s="16">
        <f t="shared" si="0"/>
        <v>150</v>
      </c>
      <c r="H44" s="16" t="s">
        <v>6</v>
      </c>
      <c r="I44" s="16" t="s">
        <v>42</v>
      </c>
    </row>
    <row r="45" spans="2:9" x14ac:dyDescent="0.3">
      <c r="B45" s="16" t="s">
        <v>220</v>
      </c>
      <c r="C45" s="16">
        <v>413</v>
      </c>
      <c r="D45" s="16" t="s">
        <v>31</v>
      </c>
      <c r="E45" s="16">
        <v>60</v>
      </c>
      <c r="F45" s="16">
        <v>80</v>
      </c>
      <c r="G45" s="16">
        <f t="shared" si="0"/>
        <v>140</v>
      </c>
      <c r="H45" s="16" t="s">
        <v>6</v>
      </c>
      <c r="I45" s="16" t="s">
        <v>42</v>
      </c>
    </row>
    <row r="46" spans="2:9" x14ac:dyDescent="0.3">
      <c r="B46" s="16" t="s">
        <v>221</v>
      </c>
      <c r="C46" s="16">
        <v>414</v>
      </c>
      <c r="D46" s="16" t="s">
        <v>33</v>
      </c>
      <c r="E46" s="16">
        <v>70</v>
      </c>
      <c r="F46" s="16">
        <v>70</v>
      </c>
      <c r="G46" s="16">
        <f t="shared" si="0"/>
        <v>140</v>
      </c>
      <c r="H46" s="16" t="s">
        <v>6</v>
      </c>
      <c r="I46" s="16" t="s">
        <v>42</v>
      </c>
    </row>
    <row r="47" spans="2:9" x14ac:dyDescent="0.3">
      <c r="B47" s="16" t="s">
        <v>222</v>
      </c>
      <c r="C47" s="16">
        <v>415</v>
      </c>
      <c r="D47" s="16" t="s">
        <v>34</v>
      </c>
      <c r="E47" s="16">
        <v>75</v>
      </c>
      <c r="F47" s="16">
        <v>85</v>
      </c>
      <c r="G47" s="16">
        <f t="shared" si="0"/>
        <v>160</v>
      </c>
      <c r="H47" s="16" t="s">
        <v>9</v>
      </c>
      <c r="I47" s="16" t="s">
        <v>42</v>
      </c>
    </row>
    <row r="48" spans="2:9" x14ac:dyDescent="0.3">
      <c r="B48" s="16" t="s">
        <v>223</v>
      </c>
      <c r="C48" s="16">
        <v>416</v>
      </c>
      <c r="D48" s="16" t="s">
        <v>35</v>
      </c>
      <c r="E48" s="16">
        <v>85</v>
      </c>
      <c r="F48" s="16">
        <v>95</v>
      </c>
      <c r="G48" s="16">
        <f t="shared" si="0"/>
        <v>180</v>
      </c>
      <c r="H48" s="16" t="s">
        <v>15</v>
      </c>
      <c r="I48" s="16" t="s">
        <v>42</v>
      </c>
    </row>
    <row r="49" spans="2:9" x14ac:dyDescent="0.3">
      <c r="B49" s="16" t="s">
        <v>224</v>
      </c>
      <c r="C49" s="16">
        <v>417</v>
      </c>
      <c r="D49" s="16" t="s">
        <v>36</v>
      </c>
      <c r="E49" s="16">
        <v>95</v>
      </c>
      <c r="F49" s="16">
        <v>60</v>
      </c>
      <c r="G49" s="16">
        <f t="shared" si="0"/>
        <v>155</v>
      </c>
      <c r="H49" s="16" t="s">
        <v>6</v>
      </c>
      <c r="I49" s="16" t="s">
        <v>42</v>
      </c>
    </row>
  </sheetData>
  <phoneticPr fontId="1" type="noConversion"/>
  <conditionalFormatting sqref="B3:I49">
    <cfRule type="expression" dxfId="2" priority="1">
      <formula>OR($E3&gt;=LARGE($E$3:$E$49,3),$E3&lt;=SMALL($E$3:$E$49,3))</formula>
    </cfRule>
    <cfRule type="expression" dxfId="1" priority="2">
      <formula>AND(_xlfn.RANK.EQ($G3,$G$3:$G$49)&lt;=10,ISEVEN(MOD($C3,100)))</formula>
    </cfRule>
  </conditionalFormatting>
  <pageMargins left="0.70866141732283472" right="0.70866141732283472" top="0.74803149606299213" bottom="0.74803149606299213" header="0.31496062992125984" footer="0.31496062992125984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B1:G50"/>
  <sheetViews>
    <sheetView tabSelected="1" workbookViewId="0">
      <selection activeCell="F7" sqref="F7"/>
    </sheetView>
  </sheetViews>
  <sheetFormatPr defaultRowHeight="26.25" x14ac:dyDescent="0.3"/>
  <cols>
    <col min="1" max="1" width="2.5" style="91" customWidth="1"/>
    <col min="2" max="2" width="13.25" style="91" customWidth="1"/>
    <col min="3" max="3" width="14.125" style="91" customWidth="1"/>
    <col min="4" max="4" width="14.25" style="91" customWidth="1"/>
    <col min="5" max="5" width="15.875" style="91" customWidth="1"/>
    <col min="6" max="6" width="14.125" style="91" customWidth="1"/>
    <col min="7" max="7" width="11.375" style="91" customWidth="1"/>
    <col min="8" max="16384" width="9" style="91"/>
  </cols>
  <sheetData>
    <row r="1" spans="2:7" ht="38.25" x14ac:dyDescent="0.3">
      <c r="B1" s="94" t="s">
        <v>480</v>
      </c>
      <c r="C1" s="94"/>
      <c r="D1" s="94"/>
      <c r="E1" s="94"/>
      <c r="F1" s="94"/>
      <c r="G1" s="90"/>
    </row>
    <row r="3" spans="2:7" x14ac:dyDescent="0.45">
      <c r="B3" s="92" t="s">
        <v>481</v>
      </c>
      <c r="C3" s="92" t="s">
        <v>2</v>
      </c>
      <c r="D3" s="92" t="s">
        <v>482</v>
      </c>
      <c r="E3" s="92" t="s">
        <v>483</v>
      </c>
      <c r="F3" s="92" t="s">
        <v>165</v>
      </c>
    </row>
    <row r="4" spans="2:7" x14ac:dyDescent="0.45">
      <c r="B4" s="93" t="s">
        <v>484</v>
      </c>
      <c r="C4" s="93" t="s">
        <v>8</v>
      </c>
      <c r="D4" s="93">
        <v>80</v>
      </c>
      <c r="E4" s="93">
        <v>70</v>
      </c>
      <c r="F4" s="93">
        <f t="shared" ref="F4:F50" si="0">D4+E4</f>
        <v>150</v>
      </c>
    </row>
    <row r="5" spans="2:7" x14ac:dyDescent="0.45">
      <c r="B5" s="93" t="s">
        <v>485</v>
      </c>
      <c r="C5" s="93" t="s">
        <v>10</v>
      </c>
      <c r="D5" s="93">
        <v>90</v>
      </c>
      <c r="E5" s="93">
        <v>80</v>
      </c>
      <c r="F5" s="93">
        <f t="shared" si="0"/>
        <v>170</v>
      </c>
    </row>
    <row r="6" spans="2:7" x14ac:dyDescent="0.45">
      <c r="B6" s="93" t="s">
        <v>486</v>
      </c>
      <c r="C6" s="93" t="s">
        <v>12</v>
      </c>
      <c r="D6" s="93">
        <v>60</v>
      </c>
      <c r="E6" s="93">
        <v>60</v>
      </c>
      <c r="F6" s="93">
        <f t="shared" si="0"/>
        <v>120</v>
      </c>
    </row>
    <row r="7" spans="2:7" x14ac:dyDescent="0.45">
      <c r="B7" s="93" t="s">
        <v>487</v>
      </c>
      <c r="C7" s="93" t="s">
        <v>14</v>
      </c>
      <c r="D7" s="93">
        <v>80</v>
      </c>
      <c r="E7" s="93">
        <v>90</v>
      </c>
      <c r="F7" s="93">
        <f t="shared" si="0"/>
        <v>170</v>
      </c>
    </row>
    <row r="8" spans="2:7" x14ac:dyDescent="0.45">
      <c r="B8" s="93" t="s">
        <v>488</v>
      </c>
      <c r="C8" s="93" t="s">
        <v>14</v>
      </c>
      <c r="D8" s="93">
        <v>90</v>
      </c>
      <c r="E8" s="93">
        <v>50</v>
      </c>
      <c r="F8" s="93">
        <f t="shared" si="0"/>
        <v>140</v>
      </c>
    </row>
    <row r="9" spans="2:7" x14ac:dyDescent="0.45">
      <c r="B9" s="93" t="s">
        <v>489</v>
      </c>
      <c r="C9" s="93" t="s">
        <v>16</v>
      </c>
      <c r="D9" s="93">
        <v>75</v>
      </c>
      <c r="E9" s="93">
        <v>50</v>
      </c>
      <c r="F9" s="93">
        <f t="shared" si="0"/>
        <v>125</v>
      </c>
    </row>
    <row r="10" spans="2:7" x14ac:dyDescent="0.45">
      <c r="B10" s="93" t="s">
        <v>490</v>
      </c>
      <c r="C10" s="93" t="s">
        <v>17</v>
      </c>
      <c r="D10" s="93">
        <v>80</v>
      </c>
      <c r="E10" s="93">
        <v>60</v>
      </c>
      <c r="F10" s="93">
        <f t="shared" si="0"/>
        <v>140</v>
      </c>
    </row>
    <row r="11" spans="2:7" x14ac:dyDescent="0.45">
      <c r="B11" s="93" t="s">
        <v>491</v>
      </c>
      <c r="C11" s="93" t="s">
        <v>18</v>
      </c>
      <c r="D11" s="93">
        <v>85</v>
      </c>
      <c r="E11" s="93">
        <v>80</v>
      </c>
      <c r="F11" s="93">
        <f t="shared" si="0"/>
        <v>165</v>
      </c>
    </row>
    <row r="12" spans="2:7" x14ac:dyDescent="0.45">
      <c r="B12" s="93" t="s">
        <v>492</v>
      </c>
      <c r="C12" s="93" t="s">
        <v>20</v>
      </c>
      <c r="D12" s="93">
        <v>60</v>
      </c>
      <c r="E12" s="93">
        <v>55</v>
      </c>
      <c r="F12" s="93">
        <f t="shared" si="0"/>
        <v>115</v>
      </c>
    </row>
    <row r="13" spans="2:7" x14ac:dyDescent="0.45">
      <c r="B13" s="93" t="s">
        <v>493</v>
      </c>
      <c r="C13" s="93" t="s">
        <v>21</v>
      </c>
      <c r="D13" s="93">
        <v>40</v>
      </c>
      <c r="E13" s="93">
        <v>80</v>
      </c>
      <c r="F13" s="93">
        <f t="shared" si="0"/>
        <v>120</v>
      </c>
    </row>
    <row r="14" spans="2:7" x14ac:dyDescent="0.45">
      <c r="B14" s="93" t="s">
        <v>494</v>
      </c>
      <c r="C14" s="93" t="s">
        <v>23</v>
      </c>
      <c r="D14" s="93">
        <v>20</v>
      </c>
      <c r="E14" s="93">
        <v>80</v>
      </c>
      <c r="F14" s="93">
        <f t="shared" si="0"/>
        <v>100</v>
      </c>
    </row>
    <row r="15" spans="2:7" x14ac:dyDescent="0.45">
      <c r="B15" s="93" t="s">
        <v>495</v>
      </c>
      <c r="C15" s="93" t="s">
        <v>24</v>
      </c>
      <c r="D15" s="93">
        <v>80</v>
      </c>
      <c r="E15" s="93">
        <v>70</v>
      </c>
      <c r="F15" s="93">
        <f t="shared" si="0"/>
        <v>150</v>
      </c>
    </row>
    <row r="16" spans="2:7" x14ac:dyDescent="0.45">
      <c r="B16" s="93" t="s">
        <v>496</v>
      </c>
      <c r="C16" s="93" t="s">
        <v>25</v>
      </c>
      <c r="D16" s="93">
        <v>90</v>
      </c>
      <c r="E16" s="93">
        <v>90</v>
      </c>
      <c r="F16" s="93">
        <f t="shared" si="0"/>
        <v>180</v>
      </c>
    </row>
    <row r="17" spans="2:6" x14ac:dyDescent="0.45">
      <c r="B17" s="93" t="s">
        <v>497</v>
      </c>
      <c r="C17" s="93" t="s">
        <v>26</v>
      </c>
      <c r="D17" s="93">
        <v>95</v>
      </c>
      <c r="E17" s="93">
        <v>50</v>
      </c>
      <c r="F17" s="93">
        <f t="shared" si="0"/>
        <v>145</v>
      </c>
    </row>
    <row r="18" spans="2:6" x14ac:dyDescent="0.45">
      <c r="B18" s="93" t="s">
        <v>498</v>
      </c>
      <c r="C18" s="93" t="s">
        <v>27</v>
      </c>
      <c r="D18" s="93">
        <v>85</v>
      </c>
      <c r="E18" s="93">
        <v>65</v>
      </c>
      <c r="F18" s="93">
        <f t="shared" si="0"/>
        <v>150</v>
      </c>
    </row>
    <row r="19" spans="2:6" x14ac:dyDescent="0.45">
      <c r="B19" s="93" t="s">
        <v>499</v>
      </c>
      <c r="C19" s="93" t="s">
        <v>28</v>
      </c>
      <c r="D19" s="93">
        <v>50</v>
      </c>
      <c r="E19" s="93">
        <v>50</v>
      </c>
      <c r="F19" s="93">
        <f t="shared" si="0"/>
        <v>100</v>
      </c>
    </row>
    <row r="20" spans="2:6" x14ac:dyDescent="0.45">
      <c r="B20" s="93" t="s">
        <v>500</v>
      </c>
      <c r="C20" s="93" t="s">
        <v>29</v>
      </c>
      <c r="D20" s="93">
        <v>45</v>
      </c>
      <c r="E20" s="93">
        <v>85</v>
      </c>
      <c r="F20" s="93">
        <f t="shared" si="0"/>
        <v>130</v>
      </c>
    </row>
    <row r="21" spans="2:6" x14ac:dyDescent="0.45">
      <c r="B21" s="93" t="s">
        <v>501</v>
      </c>
      <c r="C21" s="93" t="s">
        <v>30</v>
      </c>
      <c r="D21" s="93">
        <v>50</v>
      </c>
      <c r="E21" s="93">
        <v>65</v>
      </c>
      <c r="F21" s="93">
        <f t="shared" si="0"/>
        <v>115</v>
      </c>
    </row>
    <row r="22" spans="2:6" x14ac:dyDescent="0.45">
      <c r="B22" s="93" t="s">
        <v>502</v>
      </c>
      <c r="C22" s="93" t="s">
        <v>31</v>
      </c>
      <c r="D22" s="93">
        <v>55</v>
      </c>
      <c r="E22" s="93">
        <v>85</v>
      </c>
      <c r="F22" s="93">
        <f t="shared" si="0"/>
        <v>140</v>
      </c>
    </row>
    <row r="23" spans="2:6" x14ac:dyDescent="0.45">
      <c r="B23" s="93" t="s">
        <v>503</v>
      </c>
      <c r="C23" s="93" t="s">
        <v>33</v>
      </c>
      <c r="D23" s="93">
        <v>100</v>
      </c>
      <c r="E23" s="93">
        <v>90</v>
      </c>
      <c r="F23" s="93">
        <f t="shared" si="0"/>
        <v>190</v>
      </c>
    </row>
    <row r="24" spans="2:6" x14ac:dyDescent="0.45">
      <c r="B24" s="93" t="s">
        <v>504</v>
      </c>
      <c r="C24" s="93" t="s">
        <v>34</v>
      </c>
      <c r="D24" s="93">
        <v>50</v>
      </c>
      <c r="E24" s="93">
        <v>90</v>
      </c>
      <c r="F24" s="93">
        <f t="shared" si="0"/>
        <v>140</v>
      </c>
    </row>
    <row r="25" spans="2:6" x14ac:dyDescent="0.45">
      <c r="B25" s="93" t="s">
        <v>505</v>
      </c>
      <c r="C25" s="93" t="s">
        <v>35</v>
      </c>
      <c r="D25" s="93">
        <v>90</v>
      </c>
      <c r="E25" s="93">
        <v>95</v>
      </c>
      <c r="F25" s="93">
        <f t="shared" si="0"/>
        <v>185</v>
      </c>
    </row>
    <row r="26" spans="2:6" x14ac:dyDescent="0.45">
      <c r="B26" s="93" t="s">
        <v>506</v>
      </c>
      <c r="C26" s="93" t="s">
        <v>36</v>
      </c>
      <c r="D26" s="93">
        <v>80</v>
      </c>
      <c r="E26" s="93">
        <v>95</v>
      </c>
      <c r="F26" s="93">
        <f t="shared" si="0"/>
        <v>175</v>
      </c>
    </row>
    <row r="27" spans="2:6" x14ac:dyDescent="0.45">
      <c r="B27" s="93" t="s">
        <v>507</v>
      </c>
      <c r="C27" s="93" t="s">
        <v>37</v>
      </c>
      <c r="D27" s="93">
        <v>60</v>
      </c>
      <c r="E27" s="93">
        <v>65</v>
      </c>
      <c r="F27" s="93">
        <f t="shared" si="0"/>
        <v>125</v>
      </c>
    </row>
    <row r="28" spans="2:6" x14ac:dyDescent="0.45">
      <c r="B28" s="93" t="s">
        <v>508</v>
      </c>
      <c r="C28" s="93" t="s">
        <v>38</v>
      </c>
      <c r="D28" s="93">
        <v>65</v>
      </c>
      <c r="E28" s="93">
        <v>75</v>
      </c>
      <c r="F28" s="93">
        <f t="shared" si="0"/>
        <v>140</v>
      </c>
    </row>
    <row r="29" spans="2:6" x14ac:dyDescent="0.45">
      <c r="B29" s="93" t="s">
        <v>509</v>
      </c>
      <c r="C29" s="93" t="s">
        <v>39</v>
      </c>
      <c r="D29" s="93">
        <v>80</v>
      </c>
      <c r="E29" s="93">
        <v>70</v>
      </c>
      <c r="F29" s="93">
        <f t="shared" si="0"/>
        <v>150</v>
      </c>
    </row>
    <row r="30" spans="2:6" x14ac:dyDescent="0.45">
      <c r="B30" s="93" t="s">
        <v>510</v>
      </c>
      <c r="C30" s="93" t="s">
        <v>40</v>
      </c>
      <c r="D30" s="93">
        <v>90</v>
      </c>
      <c r="E30" s="93">
        <v>50</v>
      </c>
      <c r="F30" s="93">
        <f t="shared" si="0"/>
        <v>140</v>
      </c>
    </row>
    <row r="31" spans="2:6" x14ac:dyDescent="0.45">
      <c r="B31" s="93" t="s">
        <v>511</v>
      </c>
      <c r="C31" s="93" t="s">
        <v>41</v>
      </c>
      <c r="D31" s="93">
        <v>95</v>
      </c>
      <c r="E31" s="93">
        <v>55</v>
      </c>
      <c r="F31" s="93">
        <f t="shared" si="0"/>
        <v>150</v>
      </c>
    </row>
    <row r="32" spans="2:6" x14ac:dyDescent="0.45">
      <c r="B32" s="93" t="s">
        <v>512</v>
      </c>
      <c r="C32" s="93" t="s">
        <v>43</v>
      </c>
      <c r="D32" s="93">
        <v>80</v>
      </c>
      <c r="E32" s="93">
        <v>90</v>
      </c>
      <c r="F32" s="93">
        <f t="shared" si="0"/>
        <v>170</v>
      </c>
    </row>
    <row r="33" spans="2:6" x14ac:dyDescent="0.45">
      <c r="B33" s="93" t="s">
        <v>513</v>
      </c>
      <c r="C33" s="93" t="s">
        <v>44</v>
      </c>
      <c r="D33" s="93">
        <v>75</v>
      </c>
      <c r="E33" s="93">
        <v>90</v>
      </c>
      <c r="F33" s="93">
        <f t="shared" si="0"/>
        <v>165</v>
      </c>
    </row>
    <row r="34" spans="2:6" x14ac:dyDescent="0.45">
      <c r="B34" s="93" t="s">
        <v>514</v>
      </c>
      <c r="C34" s="93" t="s">
        <v>45</v>
      </c>
      <c r="D34" s="93">
        <v>80</v>
      </c>
      <c r="E34" s="93">
        <v>65</v>
      </c>
      <c r="F34" s="93">
        <f t="shared" si="0"/>
        <v>145</v>
      </c>
    </row>
    <row r="35" spans="2:6" x14ac:dyDescent="0.45">
      <c r="B35" s="93" t="s">
        <v>515</v>
      </c>
      <c r="C35" s="93" t="s">
        <v>46</v>
      </c>
      <c r="D35" s="93">
        <v>70</v>
      </c>
      <c r="E35" s="93">
        <v>90</v>
      </c>
      <c r="F35" s="93">
        <f t="shared" si="0"/>
        <v>160</v>
      </c>
    </row>
    <row r="36" spans="2:6" x14ac:dyDescent="0.45">
      <c r="B36" s="93" t="s">
        <v>516</v>
      </c>
      <c r="C36" s="93" t="s">
        <v>47</v>
      </c>
      <c r="D36" s="93">
        <v>80</v>
      </c>
      <c r="E36" s="93">
        <v>40</v>
      </c>
      <c r="F36" s="93">
        <f t="shared" si="0"/>
        <v>120</v>
      </c>
    </row>
    <row r="37" spans="2:6" x14ac:dyDescent="0.45">
      <c r="B37" s="93" t="s">
        <v>517</v>
      </c>
      <c r="C37" s="93" t="s">
        <v>48</v>
      </c>
      <c r="D37" s="93">
        <v>65</v>
      </c>
      <c r="E37" s="93">
        <v>90</v>
      </c>
      <c r="F37" s="93">
        <f t="shared" si="0"/>
        <v>155</v>
      </c>
    </row>
    <row r="38" spans="2:6" x14ac:dyDescent="0.45">
      <c r="B38" s="93" t="s">
        <v>518</v>
      </c>
      <c r="C38" s="93" t="s">
        <v>49</v>
      </c>
      <c r="D38" s="93">
        <v>60</v>
      </c>
      <c r="E38" s="93">
        <v>95</v>
      </c>
      <c r="F38" s="93">
        <f t="shared" si="0"/>
        <v>155</v>
      </c>
    </row>
    <row r="39" spans="2:6" x14ac:dyDescent="0.45">
      <c r="B39" s="93" t="s">
        <v>519</v>
      </c>
      <c r="C39" s="93" t="s">
        <v>50</v>
      </c>
      <c r="D39" s="93">
        <v>90</v>
      </c>
      <c r="E39" s="93">
        <v>80</v>
      </c>
      <c r="F39" s="93">
        <f t="shared" si="0"/>
        <v>170</v>
      </c>
    </row>
    <row r="40" spans="2:6" x14ac:dyDescent="0.45">
      <c r="B40" s="93" t="s">
        <v>520</v>
      </c>
      <c r="C40" s="93" t="s">
        <v>51</v>
      </c>
      <c r="D40" s="93">
        <v>90</v>
      </c>
      <c r="E40" s="93">
        <v>50</v>
      </c>
      <c r="F40" s="93">
        <f t="shared" si="0"/>
        <v>140</v>
      </c>
    </row>
    <row r="41" spans="2:6" x14ac:dyDescent="0.45">
      <c r="B41" s="93" t="s">
        <v>521</v>
      </c>
      <c r="C41" s="93" t="s">
        <v>52</v>
      </c>
      <c r="D41" s="93">
        <v>95</v>
      </c>
      <c r="E41" s="93">
        <v>60</v>
      </c>
      <c r="F41" s="93">
        <f t="shared" si="0"/>
        <v>155</v>
      </c>
    </row>
    <row r="42" spans="2:6" x14ac:dyDescent="0.45">
      <c r="B42" s="93" t="s">
        <v>522</v>
      </c>
      <c r="C42" s="93" t="s">
        <v>53</v>
      </c>
      <c r="D42" s="93">
        <v>90</v>
      </c>
      <c r="E42" s="93">
        <v>75</v>
      </c>
      <c r="F42" s="93">
        <f t="shared" si="0"/>
        <v>165</v>
      </c>
    </row>
    <row r="43" spans="2:6" x14ac:dyDescent="0.45">
      <c r="B43" s="93" t="s">
        <v>523</v>
      </c>
      <c r="C43" s="93" t="s">
        <v>54</v>
      </c>
      <c r="D43" s="93">
        <v>95</v>
      </c>
      <c r="E43" s="93">
        <v>75</v>
      </c>
      <c r="F43" s="93">
        <f t="shared" si="0"/>
        <v>170</v>
      </c>
    </row>
    <row r="44" spans="2:6" x14ac:dyDescent="0.45">
      <c r="B44" s="93" t="s">
        <v>524</v>
      </c>
      <c r="C44" s="93" t="s">
        <v>55</v>
      </c>
      <c r="D44" s="93">
        <v>100</v>
      </c>
      <c r="E44" s="93">
        <v>80</v>
      </c>
      <c r="F44" s="93">
        <f t="shared" si="0"/>
        <v>180</v>
      </c>
    </row>
    <row r="45" spans="2:6" x14ac:dyDescent="0.45">
      <c r="B45" s="93" t="s">
        <v>525</v>
      </c>
      <c r="C45" s="93" t="s">
        <v>56</v>
      </c>
      <c r="D45" s="93">
        <v>80</v>
      </c>
      <c r="E45" s="93">
        <v>70</v>
      </c>
      <c r="F45" s="93">
        <f t="shared" si="0"/>
        <v>150</v>
      </c>
    </row>
    <row r="46" spans="2:6" x14ac:dyDescent="0.45">
      <c r="B46" s="93" t="s">
        <v>526</v>
      </c>
      <c r="C46" s="93" t="s">
        <v>57</v>
      </c>
      <c r="D46" s="93">
        <v>60</v>
      </c>
      <c r="E46" s="93">
        <v>80</v>
      </c>
      <c r="F46" s="93">
        <f t="shared" si="0"/>
        <v>140</v>
      </c>
    </row>
    <row r="47" spans="2:6" x14ac:dyDescent="0.45">
      <c r="B47" s="93" t="s">
        <v>527</v>
      </c>
      <c r="C47" s="93" t="s">
        <v>58</v>
      </c>
      <c r="D47" s="93">
        <v>70</v>
      </c>
      <c r="E47" s="93">
        <v>70</v>
      </c>
      <c r="F47" s="93">
        <f t="shared" si="0"/>
        <v>140</v>
      </c>
    </row>
    <row r="48" spans="2:6" x14ac:dyDescent="0.45">
      <c r="B48" s="93" t="s">
        <v>528</v>
      </c>
      <c r="C48" s="93" t="s">
        <v>59</v>
      </c>
      <c r="D48" s="93">
        <v>75</v>
      </c>
      <c r="E48" s="93">
        <v>85</v>
      </c>
      <c r="F48" s="93">
        <f t="shared" si="0"/>
        <v>160</v>
      </c>
    </row>
    <row r="49" spans="2:6" x14ac:dyDescent="0.45">
      <c r="B49" s="93" t="s">
        <v>529</v>
      </c>
      <c r="C49" s="93" t="s">
        <v>60</v>
      </c>
      <c r="D49" s="93">
        <v>85</v>
      </c>
      <c r="E49" s="93">
        <v>95</v>
      </c>
      <c r="F49" s="93">
        <f t="shared" si="0"/>
        <v>180</v>
      </c>
    </row>
    <row r="50" spans="2:6" x14ac:dyDescent="0.45">
      <c r="B50" s="93" t="s">
        <v>530</v>
      </c>
      <c r="C50" s="93" t="s">
        <v>61</v>
      </c>
      <c r="D50" s="93">
        <v>95</v>
      </c>
      <c r="E50" s="93">
        <v>60</v>
      </c>
      <c r="F50" s="93">
        <f t="shared" si="0"/>
        <v>155</v>
      </c>
    </row>
  </sheetData>
  <mergeCells count="1">
    <mergeCell ref="B1:F1"/>
  </mergeCells>
  <phoneticPr fontId="1" type="noConversion"/>
  <pageMargins left="0.70866141732283472" right="0.70866141732283472" top="0.74803149606299213" bottom="0.74803149606299213" header="0.31496062992125984" footer="0.31496062992125984"/>
  <pageSetup paperSize="9" orientation="portrait" horizontalDpi="0" verticalDpi="0" r:id="rId1"/>
  <headerFooter>
    <oddFooter>&amp;C&amp;P페이지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K116"/>
  <sheetViews>
    <sheetView zoomScaleNormal="100" workbookViewId="0">
      <selection activeCell="D26" sqref="D26"/>
    </sheetView>
  </sheetViews>
  <sheetFormatPr defaultRowHeight="16.5" x14ac:dyDescent="0.3"/>
  <cols>
    <col min="1" max="1" width="3.375" style="25" customWidth="1"/>
    <col min="2" max="3" width="11.625" style="25" bestFit="1" customWidth="1"/>
    <col min="4" max="4" width="10.5" style="25" customWidth="1"/>
    <col min="5" max="5" width="12.375" style="25" bestFit="1" customWidth="1"/>
    <col min="6" max="6" width="15.375" style="25" customWidth="1"/>
    <col min="7" max="7" width="13.5" style="25" bestFit="1" customWidth="1"/>
    <col min="8" max="8" width="25.375" style="25" bestFit="1" customWidth="1"/>
    <col min="9" max="10" width="15.125" style="25" bestFit="1" customWidth="1"/>
    <col min="11" max="11" width="17.25" style="25" bestFit="1" customWidth="1"/>
    <col min="12" max="16384" width="9" style="25"/>
  </cols>
  <sheetData>
    <row r="2" spans="2:8" x14ac:dyDescent="0.3">
      <c r="B2" s="26" t="s">
        <v>4</v>
      </c>
    </row>
    <row r="3" spans="2:8" x14ac:dyDescent="0.3">
      <c r="B3" s="27" t="s">
        <v>164</v>
      </c>
      <c r="C3" s="27" t="s">
        <v>174</v>
      </c>
      <c r="D3" s="28" t="s">
        <v>225</v>
      </c>
      <c r="E3" s="29"/>
      <c r="F3" s="29" t="s">
        <v>311</v>
      </c>
      <c r="G3" s="29"/>
      <c r="H3" s="29"/>
    </row>
    <row r="4" spans="2:8" x14ac:dyDescent="0.3">
      <c r="B4" s="27">
        <v>20</v>
      </c>
      <c r="C4" s="27">
        <v>21</v>
      </c>
      <c r="D4" s="30" t="str">
        <f>MATCH(B4+C4,$B$11:$B$16,1)&amp;"그룹"</f>
        <v>5그룹</v>
      </c>
      <c r="E4" s="29"/>
      <c r="F4" s="29" t="str">
        <f>MATCH(B4+C4,$G$11:$G$16,-1)&amp;"그룹"</f>
        <v>2그룹</v>
      </c>
      <c r="G4" s="29"/>
      <c r="H4" s="29"/>
    </row>
    <row r="5" spans="2:8" x14ac:dyDescent="0.3">
      <c r="B5" s="27">
        <v>10</v>
      </c>
      <c r="C5" s="27">
        <v>15</v>
      </c>
      <c r="D5" s="30" t="str">
        <f t="shared" ref="D5:D7" si="0">MATCH(B5+C5,$B$11:$B$16,1)&amp;"그룹"</f>
        <v>3그룹</v>
      </c>
      <c r="E5" s="29"/>
      <c r="F5" s="29" t="str">
        <f t="shared" ref="F5:F7" si="1">MATCH(B5+C5,$G$11:$G$16,-1)&amp;"그룹"</f>
        <v>4그룹</v>
      </c>
      <c r="G5" s="29"/>
      <c r="H5" s="29"/>
    </row>
    <row r="6" spans="2:8" x14ac:dyDescent="0.3">
      <c r="B6" s="27">
        <v>24</v>
      </c>
      <c r="C6" s="27">
        <v>30</v>
      </c>
      <c r="D6" s="30" t="str">
        <f t="shared" si="0"/>
        <v>6그룹</v>
      </c>
      <c r="E6" s="29"/>
      <c r="F6" s="29" t="str">
        <f t="shared" si="1"/>
        <v>1그룹</v>
      </c>
      <c r="G6" s="29"/>
      <c r="H6" s="29"/>
    </row>
    <row r="7" spans="2:8" x14ac:dyDescent="0.3">
      <c r="B7" s="27">
        <v>26</v>
      </c>
      <c r="C7" s="27">
        <v>11</v>
      </c>
      <c r="D7" s="30" t="str">
        <f t="shared" si="0"/>
        <v>4그룹</v>
      </c>
      <c r="E7" s="29"/>
      <c r="F7" s="29" t="str">
        <f t="shared" si="1"/>
        <v>3그룹</v>
      </c>
      <c r="G7" s="29"/>
      <c r="H7" s="29"/>
    </row>
    <row r="8" spans="2:8" x14ac:dyDescent="0.3">
      <c r="B8" s="95"/>
      <c r="C8" s="95"/>
      <c r="D8" s="95"/>
      <c r="E8" s="29"/>
      <c r="F8" s="29"/>
      <c r="G8" s="29"/>
      <c r="H8" s="29"/>
    </row>
    <row r="9" spans="2:8" x14ac:dyDescent="0.3">
      <c r="B9" s="26" t="s">
        <v>226</v>
      </c>
      <c r="C9" s="31"/>
      <c r="D9" s="31"/>
      <c r="E9" s="29"/>
      <c r="F9" s="26" t="s">
        <v>227</v>
      </c>
      <c r="G9" s="29"/>
      <c r="H9" s="29"/>
    </row>
    <row r="10" spans="2:8" x14ac:dyDescent="0.3">
      <c r="B10" s="32" t="s">
        <v>228</v>
      </c>
      <c r="C10" s="32" t="s">
        <v>229</v>
      </c>
      <c r="D10" s="32" t="s">
        <v>230</v>
      </c>
      <c r="F10" s="32" t="s">
        <v>228</v>
      </c>
      <c r="G10" s="32" t="s">
        <v>231</v>
      </c>
      <c r="H10" s="32" t="s">
        <v>230</v>
      </c>
    </row>
    <row r="11" spans="2:8" x14ac:dyDescent="0.3">
      <c r="B11" s="32">
        <v>1</v>
      </c>
      <c r="C11" s="32">
        <v>10</v>
      </c>
      <c r="D11" s="32" t="s">
        <v>232</v>
      </c>
      <c r="F11" s="32">
        <v>51</v>
      </c>
      <c r="G11" s="32">
        <v>60</v>
      </c>
      <c r="H11" s="32" t="s">
        <v>233</v>
      </c>
    </row>
    <row r="12" spans="2:8" x14ac:dyDescent="0.3">
      <c r="B12" s="32">
        <v>11</v>
      </c>
      <c r="C12" s="32">
        <v>20</v>
      </c>
      <c r="D12" s="32" t="s">
        <v>234</v>
      </c>
      <c r="F12" s="32">
        <v>41</v>
      </c>
      <c r="G12" s="32">
        <v>50</v>
      </c>
      <c r="H12" s="32" t="s">
        <v>234</v>
      </c>
    </row>
    <row r="13" spans="2:8" x14ac:dyDescent="0.3">
      <c r="B13" s="32">
        <v>21</v>
      </c>
      <c r="C13" s="32">
        <v>30</v>
      </c>
      <c r="D13" s="32" t="s">
        <v>235</v>
      </c>
      <c r="F13" s="32">
        <v>31</v>
      </c>
      <c r="G13" s="32">
        <v>40</v>
      </c>
      <c r="H13" s="32" t="s">
        <v>235</v>
      </c>
    </row>
    <row r="14" spans="2:8" x14ac:dyDescent="0.3">
      <c r="B14" s="32">
        <v>31</v>
      </c>
      <c r="C14" s="32">
        <v>40</v>
      </c>
      <c r="D14" s="32" t="s">
        <v>236</v>
      </c>
      <c r="F14" s="32">
        <v>21</v>
      </c>
      <c r="G14" s="32">
        <v>30</v>
      </c>
      <c r="H14" s="32" t="s">
        <v>236</v>
      </c>
    </row>
    <row r="15" spans="2:8" x14ac:dyDescent="0.3">
      <c r="B15" s="32">
        <v>41</v>
      </c>
      <c r="C15" s="32">
        <v>50</v>
      </c>
      <c r="D15" s="32" t="s">
        <v>237</v>
      </c>
      <c r="F15" s="32">
        <v>11</v>
      </c>
      <c r="G15" s="32">
        <v>20</v>
      </c>
      <c r="H15" s="32" t="s">
        <v>237</v>
      </c>
    </row>
    <row r="16" spans="2:8" x14ac:dyDescent="0.3">
      <c r="B16" s="32">
        <v>51</v>
      </c>
      <c r="C16" s="32">
        <v>60</v>
      </c>
      <c r="D16" s="32" t="s">
        <v>238</v>
      </c>
      <c r="F16" s="32">
        <v>1</v>
      </c>
      <c r="G16" s="32">
        <v>10</v>
      </c>
      <c r="H16" s="32" t="s">
        <v>238</v>
      </c>
    </row>
    <row r="20" spans="2:8" x14ac:dyDescent="0.3">
      <c r="B20" s="25" t="s">
        <v>239</v>
      </c>
    </row>
    <row r="21" spans="2:8" x14ac:dyDescent="0.3">
      <c r="B21" s="17" t="s">
        <v>240</v>
      </c>
      <c r="C21" s="17" t="s">
        <v>241</v>
      </c>
      <c r="D21" s="17" t="s">
        <v>242</v>
      </c>
      <c r="E21" s="17" t="s">
        <v>243</v>
      </c>
      <c r="F21" s="33" t="s">
        <v>244</v>
      </c>
      <c r="H21" s="25" t="s">
        <v>312</v>
      </c>
    </row>
    <row r="22" spans="2:8" x14ac:dyDescent="0.3">
      <c r="B22" s="17" t="s">
        <v>62</v>
      </c>
      <c r="C22" s="17">
        <v>10</v>
      </c>
      <c r="D22" s="17">
        <v>4</v>
      </c>
      <c r="E22" s="34">
        <v>1000</v>
      </c>
      <c r="F22" s="17">
        <f>E22-(E22*VLOOKUP(E22,$B$36:$G$39,MATCH(C22,$D$34:$G$34,1)+2,1))</f>
        <v>990</v>
      </c>
      <c r="H22" s="25">
        <f>HLOOKUP(C22,$D$34:$G$39,MATCH(E22,$B$36:$B$39,1)+2,1)</f>
        <v>0.01</v>
      </c>
    </row>
    <row r="23" spans="2:8" x14ac:dyDescent="0.3">
      <c r="B23" s="17" t="s">
        <v>63</v>
      </c>
      <c r="C23" s="17">
        <v>35</v>
      </c>
      <c r="D23" s="17">
        <v>15</v>
      </c>
      <c r="E23" s="34">
        <v>1500</v>
      </c>
      <c r="F23" s="17">
        <f t="shared" ref="F23:F31" si="2">E23-(E23*VLOOKUP(E23,$B$36:$G$39,MATCH(C23,$D$34:$G$34,1)+2,1))</f>
        <v>1380</v>
      </c>
      <c r="H23" s="25">
        <f t="shared" ref="H23:H31" si="3">HLOOKUP(C23,$D$34:$G$39,MATCH(E23,$B$36:$B$39,1)+2,1)</f>
        <v>0.08</v>
      </c>
    </row>
    <row r="24" spans="2:8" x14ac:dyDescent="0.3">
      <c r="B24" s="17" t="s">
        <v>64</v>
      </c>
      <c r="C24" s="17">
        <v>24</v>
      </c>
      <c r="D24" s="17">
        <v>35</v>
      </c>
      <c r="E24" s="34">
        <v>3500</v>
      </c>
      <c r="F24" s="17">
        <f t="shared" si="2"/>
        <v>2975</v>
      </c>
      <c r="H24" s="25">
        <f t="shared" si="3"/>
        <v>0.15</v>
      </c>
    </row>
    <row r="25" spans="2:8" x14ac:dyDescent="0.3">
      <c r="B25" s="17" t="s">
        <v>65</v>
      </c>
      <c r="C25" s="17">
        <v>20</v>
      </c>
      <c r="D25" s="17">
        <v>20</v>
      </c>
      <c r="E25" s="34">
        <v>2000</v>
      </c>
      <c r="F25" s="17">
        <f t="shared" si="2"/>
        <v>1880</v>
      </c>
      <c r="H25" s="25">
        <f t="shared" si="3"/>
        <v>0.06</v>
      </c>
    </row>
    <row r="26" spans="2:8" x14ac:dyDescent="0.3">
      <c r="B26" s="17" t="s">
        <v>66</v>
      </c>
      <c r="C26" s="17">
        <v>16</v>
      </c>
      <c r="D26" s="17">
        <v>50</v>
      </c>
      <c r="E26" s="34">
        <v>2500</v>
      </c>
      <c r="F26" s="17">
        <f t="shared" si="2"/>
        <v>2250</v>
      </c>
      <c r="H26" s="25">
        <f t="shared" si="3"/>
        <v>0.1</v>
      </c>
    </row>
    <row r="27" spans="2:8" x14ac:dyDescent="0.3">
      <c r="B27" s="17" t="s">
        <v>67</v>
      </c>
      <c r="C27" s="17">
        <v>10</v>
      </c>
      <c r="D27" s="17">
        <v>80</v>
      </c>
      <c r="E27" s="34">
        <v>1500</v>
      </c>
      <c r="F27" s="17">
        <f t="shared" si="2"/>
        <v>1425</v>
      </c>
      <c r="H27" s="25">
        <f t="shared" si="3"/>
        <v>0.05</v>
      </c>
    </row>
    <row r="28" spans="2:8" x14ac:dyDescent="0.3">
      <c r="B28" s="17" t="s">
        <v>68</v>
      </c>
      <c r="C28" s="17">
        <v>35</v>
      </c>
      <c r="D28" s="17">
        <v>110</v>
      </c>
      <c r="E28" s="34">
        <v>3500</v>
      </c>
      <c r="F28" s="17">
        <f t="shared" si="2"/>
        <v>2940</v>
      </c>
      <c r="H28" s="25">
        <f t="shared" si="3"/>
        <v>0.16</v>
      </c>
    </row>
    <row r="29" spans="2:8" x14ac:dyDescent="0.3">
      <c r="B29" s="17" t="s">
        <v>69</v>
      </c>
      <c r="C29" s="17">
        <v>24</v>
      </c>
      <c r="D29" s="17">
        <v>4</v>
      </c>
      <c r="E29" s="34">
        <v>2000</v>
      </c>
      <c r="F29" s="17">
        <f t="shared" si="2"/>
        <v>1860</v>
      </c>
      <c r="H29" s="25">
        <f t="shared" si="3"/>
        <v>7.0000000000000007E-2</v>
      </c>
    </row>
    <row r="30" spans="2:8" x14ac:dyDescent="0.3">
      <c r="B30" s="17" t="s">
        <v>70</v>
      </c>
      <c r="C30" s="17">
        <v>20</v>
      </c>
      <c r="D30" s="17">
        <v>15</v>
      </c>
      <c r="E30" s="34">
        <v>1000</v>
      </c>
      <c r="F30" s="17">
        <f t="shared" si="2"/>
        <v>980</v>
      </c>
      <c r="H30" s="25">
        <f t="shared" si="3"/>
        <v>0.02</v>
      </c>
    </row>
    <row r="31" spans="2:8" x14ac:dyDescent="0.3">
      <c r="B31" s="17" t="s">
        <v>71</v>
      </c>
      <c r="C31" s="17">
        <v>16</v>
      </c>
      <c r="D31" s="17">
        <v>35</v>
      </c>
      <c r="E31" s="34">
        <v>1500</v>
      </c>
      <c r="F31" s="17">
        <f t="shared" si="2"/>
        <v>1410</v>
      </c>
      <c r="H31" s="25">
        <f t="shared" si="3"/>
        <v>0.06</v>
      </c>
    </row>
    <row r="33" spans="2:11" x14ac:dyDescent="0.3">
      <c r="B33" s="25" t="s">
        <v>245</v>
      </c>
    </row>
    <row r="34" spans="2:11" x14ac:dyDescent="0.3">
      <c r="B34" s="96"/>
      <c r="C34" s="97"/>
      <c r="D34" s="35">
        <v>0</v>
      </c>
      <c r="E34" s="36">
        <v>11</v>
      </c>
      <c r="F34" s="36">
        <v>21</v>
      </c>
      <c r="G34" s="36">
        <v>31</v>
      </c>
    </row>
    <row r="35" spans="2:11" x14ac:dyDescent="0.3">
      <c r="B35" s="98"/>
      <c r="C35" s="99"/>
      <c r="D35" s="37">
        <v>10</v>
      </c>
      <c r="E35" s="37">
        <v>20</v>
      </c>
      <c r="F35" s="37">
        <v>30</v>
      </c>
      <c r="G35" s="36"/>
    </row>
    <row r="36" spans="2:11" x14ac:dyDescent="0.3">
      <c r="B36" s="38">
        <v>0</v>
      </c>
      <c r="C36" s="39">
        <v>1000</v>
      </c>
      <c r="D36" s="40">
        <v>0.01</v>
      </c>
      <c r="E36" s="41">
        <v>0.02</v>
      </c>
      <c r="F36" s="41">
        <v>0.03</v>
      </c>
      <c r="G36" s="41">
        <v>0.04</v>
      </c>
    </row>
    <row r="37" spans="2:11" x14ac:dyDescent="0.3">
      <c r="B37" s="38">
        <v>1001</v>
      </c>
      <c r="C37" s="39">
        <v>2000</v>
      </c>
      <c r="D37" s="41">
        <v>0.05</v>
      </c>
      <c r="E37" s="41">
        <v>0.06</v>
      </c>
      <c r="F37" s="41">
        <v>7.0000000000000007E-2</v>
      </c>
      <c r="G37" s="41">
        <v>0.08</v>
      </c>
    </row>
    <row r="38" spans="2:11" x14ac:dyDescent="0.3">
      <c r="B38" s="38">
        <v>2001</v>
      </c>
      <c r="C38" s="39">
        <v>3000</v>
      </c>
      <c r="D38" s="40">
        <v>0.09</v>
      </c>
      <c r="E38" s="41">
        <v>0.1</v>
      </c>
      <c r="F38" s="41">
        <v>0.11</v>
      </c>
      <c r="G38" s="41">
        <v>0.12</v>
      </c>
    </row>
    <row r="39" spans="2:11" x14ac:dyDescent="0.3">
      <c r="B39" s="38">
        <v>3001</v>
      </c>
      <c r="C39" s="39"/>
      <c r="D39" s="41">
        <v>0.13</v>
      </c>
      <c r="E39" s="41">
        <v>0.14000000000000001</v>
      </c>
      <c r="F39" s="41">
        <v>0.15</v>
      </c>
      <c r="G39" s="41">
        <v>0.16</v>
      </c>
    </row>
    <row r="44" spans="2:11" x14ac:dyDescent="0.3">
      <c r="B44" s="25" t="s">
        <v>5</v>
      </c>
      <c r="H44" s="25" t="s">
        <v>313</v>
      </c>
    </row>
    <row r="45" spans="2:11" x14ac:dyDescent="0.3">
      <c r="B45" s="42" t="s">
        <v>246</v>
      </c>
      <c r="C45" s="42" t="s">
        <v>2</v>
      </c>
      <c r="D45" s="17" t="s">
        <v>247</v>
      </c>
      <c r="E45" s="42" t="s">
        <v>248</v>
      </c>
      <c r="F45" s="42" t="s">
        <v>249</v>
      </c>
      <c r="H45" s="11"/>
      <c r="I45" s="33" t="s">
        <v>250</v>
      </c>
      <c r="J45" s="33" t="s">
        <v>252</v>
      </c>
      <c r="K45" s="33" t="s">
        <v>253</v>
      </c>
    </row>
    <row r="46" spans="2:11" x14ac:dyDescent="0.3">
      <c r="B46" s="16" t="s">
        <v>177</v>
      </c>
      <c r="C46" s="16" t="s">
        <v>37</v>
      </c>
      <c r="D46" s="11" t="s">
        <v>254</v>
      </c>
      <c r="E46" s="16" t="s">
        <v>250</v>
      </c>
      <c r="F46" s="16">
        <v>70</v>
      </c>
      <c r="H46" s="11" t="s">
        <v>255</v>
      </c>
      <c r="I46" s="11" t="str">
        <f>REPT("■",IFERROR(AVERAGEIFS($F$46:$F$65,$D$46:$D$65,$H46,$E$46:$E$65,I$45),0)/10)</f>
        <v>■■■■■■■</v>
      </c>
      <c r="J46" s="11" t="str">
        <f t="shared" ref="J46:K46" si="4">REPT("■",IFERROR(AVERAGEIFS($F$46:$F$65,$D$46:$D$65,$H46,$E$46:$E$65,J$45),0)/10)</f>
        <v/>
      </c>
      <c r="K46" s="11" t="str">
        <f t="shared" si="4"/>
        <v>■■■■■■</v>
      </c>
    </row>
    <row r="47" spans="2:11" x14ac:dyDescent="0.3">
      <c r="B47" s="16" t="s">
        <v>179</v>
      </c>
      <c r="C47" s="16" t="s">
        <v>38</v>
      </c>
      <c r="D47" s="11" t="s">
        <v>256</v>
      </c>
      <c r="E47" s="16" t="s">
        <v>257</v>
      </c>
      <c r="F47" s="16">
        <v>80</v>
      </c>
      <c r="H47" s="11" t="s">
        <v>258</v>
      </c>
      <c r="I47" s="11" t="str">
        <f t="shared" ref="I47:K48" si="5">REPT("■",IFERROR(AVERAGEIFS($F$46:$F$65,$D$46:$D$65,$H47,$E$46:$E$65,I$45),0)/10)</f>
        <v>■■■■■■■</v>
      </c>
      <c r="J47" s="11" t="str">
        <f t="shared" si="5"/>
        <v>■■■■■■■</v>
      </c>
      <c r="K47" s="11" t="str">
        <f t="shared" si="5"/>
        <v>■■■■■■■■</v>
      </c>
    </row>
    <row r="48" spans="2:11" x14ac:dyDescent="0.3">
      <c r="B48" s="16" t="s">
        <v>180</v>
      </c>
      <c r="C48" s="16" t="s">
        <v>39</v>
      </c>
      <c r="D48" s="11" t="s">
        <v>259</v>
      </c>
      <c r="E48" s="16" t="s">
        <v>257</v>
      </c>
      <c r="F48" s="16">
        <v>60</v>
      </c>
      <c r="H48" s="11" t="s">
        <v>259</v>
      </c>
      <c r="I48" s="11" t="str">
        <f t="shared" si="5"/>
        <v>■■■■■</v>
      </c>
      <c r="J48" s="11" t="str">
        <f t="shared" si="5"/>
        <v>■■■■■■■</v>
      </c>
      <c r="K48" s="11" t="str">
        <f t="shared" si="5"/>
        <v/>
      </c>
    </row>
    <row r="49" spans="2:11" x14ac:dyDescent="0.3">
      <c r="B49" s="16" t="s">
        <v>181</v>
      </c>
      <c r="C49" s="16" t="s">
        <v>40</v>
      </c>
      <c r="D49" s="11" t="s">
        <v>254</v>
      </c>
      <c r="E49" s="16" t="s">
        <v>257</v>
      </c>
      <c r="F49" s="16">
        <v>90</v>
      </c>
    </row>
    <row r="50" spans="2:11" x14ac:dyDescent="0.3">
      <c r="B50" s="16" t="s">
        <v>182</v>
      </c>
      <c r="C50" s="16" t="s">
        <v>41</v>
      </c>
      <c r="D50" s="11" t="s">
        <v>256</v>
      </c>
      <c r="E50" s="16" t="s">
        <v>250</v>
      </c>
      <c r="F50" s="16">
        <v>50</v>
      </c>
      <c r="I50" s="25" t="s">
        <v>314</v>
      </c>
    </row>
    <row r="51" spans="2:11" x14ac:dyDescent="0.3">
      <c r="B51" s="16" t="s">
        <v>183</v>
      </c>
      <c r="C51" s="16" t="s">
        <v>43</v>
      </c>
      <c r="D51" s="11" t="s">
        <v>261</v>
      </c>
      <c r="E51" s="16" t="s">
        <v>250</v>
      </c>
      <c r="F51" s="16">
        <v>50</v>
      </c>
      <c r="I51" s="25">
        <f>SUMIFS($F$46:$F$65,$D$46:$D$65,$H46,$E$46:$E$65,I$45)</f>
        <v>300</v>
      </c>
      <c r="J51" s="25">
        <f t="shared" ref="J51:K51" si="6">SUMIFS($F$46:$F$65,$D$46:$D$65,$H46,$E$46:$E$65,J$45)</f>
        <v>0</v>
      </c>
      <c r="K51" s="25">
        <f t="shared" si="6"/>
        <v>135</v>
      </c>
    </row>
    <row r="52" spans="2:11" x14ac:dyDescent="0.3">
      <c r="B52" s="16" t="s">
        <v>184</v>
      </c>
      <c r="C52" s="16" t="s">
        <v>44</v>
      </c>
      <c r="D52" s="11" t="s">
        <v>254</v>
      </c>
      <c r="E52" s="16" t="s">
        <v>257</v>
      </c>
      <c r="F52" s="16">
        <v>60</v>
      </c>
      <c r="I52" s="25">
        <f t="shared" ref="I52:K53" si="7">SUMIFS($F$46:$F$65,$D$46:$D$65,$H47,$E$46:$E$65,I$45)</f>
        <v>210</v>
      </c>
      <c r="J52" s="25">
        <f t="shared" si="7"/>
        <v>285</v>
      </c>
      <c r="K52" s="25">
        <f t="shared" si="7"/>
        <v>240</v>
      </c>
    </row>
    <row r="53" spans="2:11" x14ac:dyDescent="0.3">
      <c r="B53" s="16" t="s">
        <v>185</v>
      </c>
      <c r="C53" s="16" t="s">
        <v>45</v>
      </c>
      <c r="D53" s="11" t="s">
        <v>258</v>
      </c>
      <c r="E53" s="16" t="s">
        <v>250</v>
      </c>
      <c r="F53" s="16">
        <v>80</v>
      </c>
      <c r="I53" s="25">
        <f t="shared" si="7"/>
        <v>165</v>
      </c>
      <c r="J53" s="25">
        <f t="shared" si="7"/>
        <v>70</v>
      </c>
      <c r="K53" s="25">
        <f t="shared" si="7"/>
        <v>0</v>
      </c>
    </row>
    <row r="54" spans="2:11" x14ac:dyDescent="0.3">
      <c r="B54" s="16" t="s">
        <v>186</v>
      </c>
      <c r="C54" s="16" t="s">
        <v>46</v>
      </c>
      <c r="D54" s="11" t="s">
        <v>260</v>
      </c>
      <c r="E54" s="16" t="s">
        <v>250</v>
      </c>
      <c r="F54" s="16">
        <v>55</v>
      </c>
      <c r="I54" s="25" t="s">
        <v>315</v>
      </c>
    </row>
    <row r="55" spans="2:11" x14ac:dyDescent="0.3">
      <c r="B55" s="16" t="s">
        <v>187</v>
      </c>
      <c r="C55" s="16" t="s">
        <v>47</v>
      </c>
      <c r="D55" s="11" t="s">
        <v>254</v>
      </c>
      <c r="E55" s="16" t="s">
        <v>257</v>
      </c>
      <c r="F55" s="16">
        <v>80</v>
      </c>
      <c r="I55" s="25">
        <f>COUNTIFS($D$46:$D$65,$H46,$E$46:$E$65,I$45)</f>
        <v>4</v>
      </c>
      <c r="J55" s="25">
        <f t="shared" ref="J55:K55" si="8">COUNTIFS($D$46:$D$65,$H46,$E$46:$E$65,J$45)</f>
        <v>0</v>
      </c>
      <c r="K55" s="25">
        <f t="shared" si="8"/>
        <v>2</v>
      </c>
    </row>
    <row r="56" spans="2:11" x14ac:dyDescent="0.3">
      <c r="B56" s="16" t="s">
        <v>188</v>
      </c>
      <c r="C56" s="16" t="s">
        <v>48</v>
      </c>
      <c r="D56" s="11" t="s">
        <v>258</v>
      </c>
      <c r="E56" s="16" t="s">
        <v>251</v>
      </c>
      <c r="F56" s="16">
        <v>80</v>
      </c>
      <c r="I56" s="25">
        <f t="shared" ref="I56:K57" si="9">COUNTIFS($D$46:$D$65,$H47,$E$46:$E$65,I$45)</f>
        <v>3</v>
      </c>
      <c r="J56" s="25">
        <f t="shared" si="9"/>
        <v>4</v>
      </c>
      <c r="K56" s="25">
        <f t="shared" si="9"/>
        <v>3</v>
      </c>
    </row>
    <row r="57" spans="2:11" x14ac:dyDescent="0.3">
      <c r="B57" s="16" t="s">
        <v>189</v>
      </c>
      <c r="C57" s="16" t="s">
        <v>49</v>
      </c>
      <c r="D57" s="11" t="s">
        <v>259</v>
      </c>
      <c r="E57" s="16" t="s">
        <v>251</v>
      </c>
      <c r="F57" s="16">
        <v>70</v>
      </c>
      <c r="I57" s="25">
        <f t="shared" si="9"/>
        <v>3</v>
      </c>
      <c r="J57" s="25">
        <f t="shared" si="9"/>
        <v>1</v>
      </c>
      <c r="K57" s="25">
        <f t="shared" si="9"/>
        <v>0</v>
      </c>
    </row>
    <row r="58" spans="2:11" x14ac:dyDescent="0.3">
      <c r="B58" s="16" t="s">
        <v>190</v>
      </c>
      <c r="C58" s="16" t="s">
        <v>50</v>
      </c>
      <c r="D58" s="11" t="s">
        <v>256</v>
      </c>
      <c r="E58" s="16" t="s">
        <v>251</v>
      </c>
      <c r="F58" s="16">
        <v>90</v>
      </c>
    </row>
    <row r="59" spans="2:11" x14ac:dyDescent="0.3">
      <c r="B59" s="16" t="s">
        <v>191</v>
      </c>
      <c r="C59" s="16" t="s">
        <v>51</v>
      </c>
      <c r="D59" s="11" t="s">
        <v>258</v>
      </c>
      <c r="E59" s="16" t="s">
        <v>251</v>
      </c>
      <c r="F59" s="16">
        <v>50</v>
      </c>
    </row>
    <row r="60" spans="2:11" x14ac:dyDescent="0.3">
      <c r="B60" s="16" t="s">
        <v>192</v>
      </c>
      <c r="C60" s="16" t="s">
        <v>52</v>
      </c>
      <c r="D60" s="11" t="s">
        <v>258</v>
      </c>
      <c r="E60" s="16" t="s">
        <v>252</v>
      </c>
      <c r="F60" s="16">
        <v>65</v>
      </c>
    </row>
    <row r="61" spans="2:11" x14ac:dyDescent="0.3">
      <c r="B61" s="16" t="s">
        <v>193</v>
      </c>
      <c r="C61" s="16" t="s">
        <v>53</v>
      </c>
      <c r="D61" s="11" t="s">
        <v>254</v>
      </c>
      <c r="E61" s="16" t="s">
        <v>262</v>
      </c>
      <c r="F61" s="16">
        <v>50</v>
      </c>
    </row>
    <row r="62" spans="2:11" x14ac:dyDescent="0.3">
      <c r="B62" s="16" t="s">
        <v>194</v>
      </c>
      <c r="C62" s="16" t="s">
        <v>54</v>
      </c>
      <c r="D62" s="11" t="s">
        <v>256</v>
      </c>
      <c r="E62" s="16" t="s">
        <v>262</v>
      </c>
      <c r="F62" s="16">
        <v>85</v>
      </c>
    </row>
    <row r="63" spans="2:11" x14ac:dyDescent="0.3">
      <c r="B63" s="16" t="s">
        <v>195</v>
      </c>
      <c r="C63" s="16" t="s">
        <v>55</v>
      </c>
      <c r="D63" s="11" t="s">
        <v>256</v>
      </c>
      <c r="E63" s="16" t="s">
        <v>262</v>
      </c>
      <c r="F63" s="16">
        <v>65</v>
      </c>
    </row>
    <row r="64" spans="2:11" x14ac:dyDescent="0.3">
      <c r="B64" s="16" t="s">
        <v>196</v>
      </c>
      <c r="C64" s="16" t="s">
        <v>56</v>
      </c>
      <c r="D64" s="11" t="s">
        <v>255</v>
      </c>
      <c r="E64" s="16" t="s">
        <v>262</v>
      </c>
      <c r="F64" s="16">
        <v>85</v>
      </c>
      <c r="I64" s="25" t="s">
        <v>316</v>
      </c>
    </row>
    <row r="65" spans="2:11" x14ac:dyDescent="0.3">
      <c r="B65" s="16" t="s">
        <v>197</v>
      </c>
      <c r="C65" s="16" t="s">
        <v>57</v>
      </c>
      <c r="D65" s="11" t="s">
        <v>258</v>
      </c>
      <c r="E65" s="16" t="s">
        <v>253</v>
      </c>
      <c r="F65" s="16">
        <v>90</v>
      </c>
      <c r="I65" s="25">
        <f>STDEV(F46:F65)</f>
        <v>14.732259625875813</v>
      </c>
    </row>
    <row r="69" spans="2:11" x14ac:dyDescent="0.3">
      <c r="B69" s="25" t="s">
        <v>0</v>
      </c>
      <c r="H69" s="25" t="s">
        <v>263</v>
      </c>
    </row>
    <row r="70" spans="2:11" x14ac:dyDescent="0.3">
      <c r="B70" s="11" t="s">
        <v>246</v>
      </c>
      <c r="C70" s="11" t="s">
        <v>264</v>
      </c>
      <c r="D70" s="11" t="s">
        <v>265</v>
      </c>
      <c r="E70" s="11" t="s">
        <v>266</v>
      </c>
      <c r="F70" s="11" t="s">
        <v>267</v>
      </c>
      <c r="H70" s="11"/>
      <c r="I70" s="43" t="s">
        <v>268</v>
      </c>
      <c r="J70" s="43" t="s">
        <v>269</v>
      </c>
      <c r="K70" s="43" t="s">
        <v>271</v>
      </c>
    </row>
    <row r="71" spans="2:11" x14ac:dyDescent="0.3">
      <c r="B71" s="5">
        <v>1</v>
      </c>
      <c r="C71" s="5" t="s">
        <v>272</v>
      </c>
      <c r="D71" s="11" t="s">
        <v>273</v>
      </c>
      <c r="E71" s="11" t="s">
        <v>274</v>
      </c>
      <c r="F71" s="44">
        <v>1860000</v>
      </c>
      <c r="H71" s="11" t="s">
        <v>275</v>
      </c>
      <c r="I71" s="44">
        <f t="array" ref="I71">IF(LARGE(($D$71:$D$93=$H71)*($E$71:$E$93=I$70)*($F$71:$F$93),1)=0,0,LARGE(($D$71:$D$93=$H71)*($E$71:$E$93=I$70)*($F$71:$F$93),1))</f>
        <v>1860000</v>
      </c>
      <c r="J71" s="44">
        <f t="array" ref="J71">IF(LARGE(($D$71:$D$93=$H71)*($E$71:$E$93=J$70)*($F$71:$F$93),1)=0,0,LARGE(($D$71:$D$93=$H71)*($E$71:$E$93=J$70)*($F$71:$F$93),1))</f>
        <v>4035000</v>
      </c>
      <c r="K71" s="44">
        <f t="array" ref="K71">IF(LARGE(($D$71:$D$93=$H71)*($E$71:$E$93=K$70)*($F$71:$F$93),1)=0,0,LARGE(($D$71:$D$93=$H71)*($E$71:$E$93=K$70)*($F$71:$F$93),1))</f>
        <v>1762500</v>
      </c>
    </row>
    <row r="72" spans="2:11" x14ac:dyDescent="0.3">
      <c r="B72" s="5">
        <v>2</v>
      </c>
      <c r="C72" s="5" t="s">
        <v>276</v>
      </c>
      <c r="D72" s="11" t="s">
        <v>275</v>
      </c>
      <c r="E72" s="11" t="s">
        <v>269</v>
      </c>
      <c r="F72" s="44">
        <v>1065000</v>
      </c>
      <c r="H72" s="11" t="s">
        <v>277</v>
      </c>
      <c r="I72" s="44">
        <f t="array" ref="I72">IF(LARGE(($D$71:$D$93=$H72)*($E$71:$E$93=I$70)*($F$71:$F$93),1)=0,0,LARGE(($D$71:$D$93=$H72)*($E$71:$E$93=I$70)*($F$71:$F$93),1))</f>
        <v>1833000</v>
      </c>
      <c r="J72" s="44">
        <f t="array" ref="J72">IF(LARGE(($D$71:$D$93=$H72)*($E$71:$E$93=J$70)*($F$71:$F$93),1)=0,0,LARGE(($D$71:$D$93=$H72)*($E$71:$E$93=J$70)*($F$71:$F$93),1))</f>
        <v>1690000</v>
      </c>
      <c r="K72" s="44">
        <f t="array" ref="K72">IF(LARGE(($D$71:$D$93=$H72)*($E$71:$E$93=K$70)*($F$71:$F$93),1)=0,0,LARGE(($D$71:$D$93=$H72)*($E$71:$E$93=K$70)*($F$71:$F$93),1))</f>
        <v>2492400</v>
      </c>
    </row>
    <row r="73" spans="2:11" x14ac:dyDescent="0.3">
      <c r="B73" s="5">
        <v>3</v>
      </c>
      <c r="C73" s="5" t="s">
        <v>278</v>
      </c>
      <c r="D73" s="11" t="s">
        <v>273</v>
      </c>
      <c r="E73" s="11" t="s">
        <v>271</v>
      </c>
      <c r="F73" s="44">
        <v>1762500</v>
      </c>
      <c r="H73" s="11" t="s">
        <v>280</v>
      </c>
      <c r="I73" s="44">
        <f t="array" ref="I73">IF(LARGE(($D$71:$D$93=$H73)*($E$71:$E$93=I$70)*($F$71:$F$93),1)=0,0,LARGE(($D$71:$D$93=$H73)*($E$71:$E$93=I$70)*($F$71:$F$93),1))</f>
        <v>1408000</v>
      </c>
      <c r="J73" s="44">
        <f t="array" ref="J73">IF(LARGE(($D$71:$D$93=$H73)*($E$71:$E$93=J$70)*($F$71:$F$93),1)=0,0,LARGE(($D$71:$D$93=$H73)*($E$71:$E$93=J$70)*($F$71:$F$93),1))</f>
        <v>1181100</v>
      </c>
      <c r="K73" s="44">
        <f t="array" ref="K73">IF(LARGE(($D$71:$D$93=$H73)*($E$71:$E$93=K$70)*($F$71:$F$93),1)=0,0,LARGE(($D$71:$D$93=$H73)*($E$71:$E$93=K$70)*($F$71:$F$93),1))</f>
        <v>0</v>
      </c>
    </row>
    <row r="74" spans="2:11" x14ac:dyDescent="0.3">
      <c r="B74" s="5">
        <v>4</v>
      </c>
      <c r="C74" s="5" t="s">
        <v>281</v>
      </c>
      <c r="D74" s="11" t="s">
        <v>275</v>
      </c>
      <c r="E74" s="11" t="s">
        <v>274</v>
      </c>
      <c r="F74" s="44">
        <v>968000</v>
      </c>
      <c r="H74" s="11" t="s">
        <v>283</v>
      </c>
      <c r="I74" s="44">
        <f t="array" ref="I74">IF(LARGE(($D$71:$D$93=$H74)*($E$71:$E$93=I$70)*($F$71:$F$93),1)=0,0,LARGE(($D$71:$D$93=$H74)*($E$71:$E$93=I$70)*($F$71:$F$93),1))</f>
        <v>2061000</v>
      </c>
      <c r="J74" s="44">
        <f t="array" ref="J74">IF(LARGE(($D$71:$D$93=$H74)*($E$71:$E$93=J$70)*($F$71:$F$93),1)=0,0,LARGE(($D$71:$D$93=$H74)*($E$71:$E$93=J$70)*($F$71:$F$93),1))</f>
        <v>1755000</v>
      </c>
      <c r="K74" s="44">
        <f t="array" ref="K74">IF(LARGE(($D$71:$D$93=$H74)*($E$71:$E$93=K$70)*($F$71:$F$93),1)=0,0,LARGE(($D$71:$D$93=$H74)*($E$71:$E$93=K$70)*($F$71:$F$93),1))</f>
        <v>1845000</v>
      </c>
    </row>
    <row r="75" spans="2:11" x14ac:dyDescent="0.3">
      <c r="B75" s="5">
        <v>5</v>
      </c>
      <c r="C75" s="5" t="s">
        <v>284</v>
      </c>
      <c r="D75" s="11" t="s">
        <v>285</v>
      </c>
      <c r="E75" s="11" t="s">
        <v>269</v>
      </c>
      <c r="F75" s="44">
        <v>1287000</v>
      </c>
    </row>
    <row r="76" spans="2:11" x14ac:dyDescent="0.3">
      <c r="B76" s="5">
        <v>6</v>
      </c>
      <c r="C76" s="5" t="s">
        <v>286</v>
      </c>
      <c r="D76" s="11" t="s">
        <v>275</v>
      </c>
      <c r="E76" s="11" t="s">
        <v>271</v>
      </c>
      <c r="F76" s="44">
        <v>1495000</v>
      </c>
    </row>
    <row r="77" spans="2:11" x14ac:dyDescent="0.3">
      <c r="B77" s="5">
        <v>7</v>
      </c>
      <c r="C77" s="5" t="s">
        <v>287</v>
      </c>
      <c r="D77" s="11" t="s">
        <v>285</v>
      </c>
      <c r="E77" s="11" t="s">
        <v>288</v>
      </c>
      <c r="F77" s="44">
        <v>1171800</v>
      </c>
    </row>
    <row r="78" spans="2:11" x14ac:dyDescent="0.3">
      <c r="B78" s="5">
        <v>8</v>
      </c>
      <c r="C78" s="5" t="s">
        <v>289</v>
      </c>
      <c r="D78" s="11" t="s">
        <v>285</v>
      </c>
      <c r="E78" s="11" t="s">
        <v>290</v>
      </c>
      <c r="F78" s="44">
        <v>4035000</v>
      </c>
    </row>
    <row r="79" spans="2:11" x14ac:dyDescent="0.3">
      <c r="B79" s="5">
        <v>9</v>
      </c>
      <c r="C79" s="5" t="s">
        <v>291</v>
      </c>
      <c r="D79" s="11" t="s">
        <v>273</v>
      </c>
      <c r="E79" s="11" t="s">
        <v>292</v>
      </c>
      <c r="F79" s="44">
        <v>1179000</v>
      </c>
    </row>
    <row r="80" spans="2:11" x14ac:dyDescent="0.3">
      <c r="B80" s="5">
        <v>10</v>
      </c>
      <c r="C80" s="5" t="s">
        <v>293</v>
      </c>
      <c r="D80" s="11" t="s">
        <v>277</v>
      </c>
      <c r="E80" s="11" t="s">
        <v>288</v>
      </c>
      <c r="F80" s="44">
        <v>135000</v>
      </c>
    </row>
    <row r="81" spans="2:6" x14ac:dyDescent="0.3">
      <c r="B81" s="5">
        <v>11</v>
      </c>
      <c r="C81" s="5" t="s">
        <v>294</v>
      </c>
      <c r="D81" s="11" t="s">
        <v>277</v>
      </c>
      <c r="E81" s="11" t="s">
        <v>290</v>
      </c>
      <c r="F81" s="44">
        <v>1098000</v>
      </c>
    </row>
    <row r="82" spans="2:6" x14ac:dyDescent="0.3">
      <c r="B82" s="5">
        <v>12</v>
      </c>
      <c r="C82" s="5" t="s">
        <v>295</v>
      </c>
      <c r="D82" s="11" t="s">
        <v>277</v>
      </c>
      <c r="E82" s="11" t="s">
        <v>292</v>
      </c>
      <c r="F82" s="44">
        <v>2492400</v>
      </c>
    </row>
    <row r="83" spans="2:6" x14ac:dyDescent="0.3">
      <c r="B83" s="5">
        <v>13</v>
      </c>
      <c r="C83" s="5" t="s">
        <v>296</v>
      </c>
      <c r="D83" s="11" t="s">
        <v>297</v>
      </c>
      <c r="E83" s="11" t="s">
        <v>268</v>
      </c>
      <c r="F83" s="44">
        <v>1833000</v>
      </c>
    </row>
    <row r="84" spans="2:6" x14ac:dyDescent="0.3">
      <c r="B84" s="5">
        <v>14</v>
      </c>
      <c r="C84" s="5" t="s">
        <v>298</v>
      </c>
      <c r="D84" s="11" t="s">
        <v>277</v>
      </c>
      <c r="E84" s="11" t="s">
        <v>290</v>
      </c>
      <c r="F84" s="44">
        <v>1690000</v>
      </c>
    </row>
    <row r="85" spans="2:6" x14ac:dyDescent="0.3">
      <c r="B85" s="5">
        <v>15</v>
      </c>
      <c r="C85" s="5" t="s">
        <v>299</v>
      </c>
      <c r="D85" s="11" t="s">
        <v>297</v>
      </c>
      <c r="E85" s="11" t="s">
        <v>270</v>
      </c>
      <c r="F85" s="44">
        <v>2111100</v>
      </c>
    </row>
    <row r="86" spans="2:6" x14ac:dyDescent="0.3">
      <c r="B86" s="5">
        <v>16</v>
      </c>
      <c r="C86" s="5" t="s">
        <v>300</v>
      </c>
      <c r="D86" s="11" t="s">
        <v>279</v>
      </c>
      <c r="E86" s="11" t="s">
        <v>288</v>
      </c>
      <c r="F86" s="44">
        <v>1408000</v>
      </c>
    </row>
    <row r="87" spans="2:6" x14ac:dyDescent="0.3">
      <c r="B87" s="5">
        <v>17</v>
      </c>
      <c r="C87" s="5" t="s">
        <v>301</v>
      </c>
      <c r="D87" s="11" t="s">
        <v>280</v>
      </c>
      <c r="E87" s="11" t="s">
        <v>290</v>
      </c>
      <c r="F87" s="44">
        <v>1181100</v>
      </c>
    </row>
    <row r="88" spans="2:6" x14ac:dyDescent="0.3">
      <c r="B88" s="5">
        <v>18</v>
      </c>
      <c r="C88" s="5" t="s">
        <v>302</v>
      </c>
      <c r="D88" s="11" t="s">
        <v>283</v>
      </c>
      <c r="E88" s="11" t="s">
        <v>303</v>
      </c>
      <c r="F88" s="44">
        <v>1845000</v>
      </c>
    </row>
    <row r="89" spans="2:6" x14ac:dyDescent="0.3">
      <c r="B89" s="5">
        <v>19</v>
      </c>
      <c r="C89" s="5" t="s">
        <v>304</v>
      </c>
      <c r="D89" s="11" t="s">
        <v>283</v>
      </c>
      <c r="E89" s="11" t="s">
        <v>288</v>
      </c>
      <c r="F89" s="44">
        <v>2061000</v>
      </c>
    </row>
    <row r="90" spans="2:6" x14ac:dyDescent="0.3">
      <c r="B90" s="5">
        <v>20</v>
      </c>
      <c r="C90" s="5" t="s">
        <v>305</v>
      </c>
      <c r="D90" s="11" t="s">
        <v>283</v>
      </c>
      <c r="E90" s="11" t="s">
        <v>290</v>
      </c>
      <c r="F90" s="44">
        <v>1755000</v>
      </c>
    </row>
    <row r="91" spans="2:6" x14ac:dyDescent="0.3">
      <c r="B91" s="5">
        <v>21</v>
      </c>
      <c r="C91" s="5" t="s">
        <v>306</v>
      </c>
      <c r="D91" s="11" t="s">
        <v>307</v>
      </c>
      <c r="E91" s="11" t="s">
        <v>270</v>
      </c>
      <c r="F91" s="44">
        <v>325500</v>
      </c>
    </row>
    <row r="92" spans="2:6" x14ac:dyDescent="0.3">
      <c r="B92" s="5">
        <v>22</v>
      </c>
      <c r="C92" s="5" t="s">
        <v>308</v>
      </c>
      <c r="D92" s="11" t="s">
        <v>282</v>
      </c>
      <c r="E92" s="11" t="s">
        <v>288</v>
      </c>
      <c r="F92" s="44">
        <v>1677000</v>
      </c>
    </row>
    <row r="93" spans="2:6" x14ac:dyDescent="0.3">
      <c r="B93" s="5">
        <v>23</v>
      </c>
      <c r="C93" s="5" t="s">
        <v>309</v>
      </c>
      <c r="D93" s="11" t="s">
        <v>282</v>
      </c>
      <c r="E93" s="11" t="s">
        <v>310</v>
      </c>
      <c r="F93" s="44">
        <v>1227600</v>
      </c>
    </row>
    <row r="100" spans="2:10" x14ac:dyDescent="0.3">
      <c r="B100" s="25" t="s">
        <v>317</v>
      </c>
    </row>
    <row r="101" spans="2:10" x14ac:dyDescent="0.3">
      <c r="B101" s="5" t="s">
        <v>318</v>
      </c>
      <c r="C101" s="5" t="s">
        <v>319</v>
      </c>
      <c r="D101" s="5" t="s">
        <v>320</v>
      </c>
      <c r="E101" s="5" t="s">
        <v>321</v>
      </c>
      <c r="F101" s="11" t="s">
        <v>322</v>
      </c>
      <c r="G101" s="5" t="s">
        <v>323</v>
      </c>
      <c r="H101" s="45" t="s">
        <v>324</v>
      </c>
    </row>
    <row r="102" spans="2:10" x14ac:dyDescent="0.3">
      <c r="B102" s="5">
        <v>1</v>
      </c>
      <c r="C102" s="10" t="s">
        <v>325</v>
      </c>
      <c r="D102" s="10" t="s">
        <v>326</v>
      </c>
      <c r="E102" s="46">
        <v>100000</v>
      </c>
      <c r="F102" s="47">
        <v>90000</v>
      </c>
      <c r="G102" s="48">
        <v>840000</v>
      </c>
      <c r="H102" s="49">
        <f>fn추가금(E102,F102,G102)</f>
        <v>0</v>
      </c>
      <c r="J102" s="50"/>
    </row>
    <row r="103" spans="2:10" x14ac:dyDescent="0.3">
      <c r="B103" s="5">
        <v>2</v>
      </c>
      <c r="C103" s="10" t="s">
        <v>325</v>
      </c>
      <c r="D103" s="10" t="s">
        <v>327</v>
      </c>
      <c r="E103" s="46">
        <v>1200000</v>
      </c>
      <c r="F103" s="47">
        <v>1080000</v>
      </c>
      <c r="G103" s="48">
        <v>10080000</v>
      </c>
      <c r="H103" s="49">
        <f t="shared" ref="H103:H116" si="10">fn추가금(E103,F103,G103)</f>
        <v>2016000</v>
      </c>
      <c r="J103" s="50"/>
    </row>
    <row r="104" spans="2:10" x14ac:dyDescent="0.3">
      <c r="B104" s="5">
        <v>3</v>
      </c>
      <c r="C104" s="10" t="s">
        <v>325</v>
      </c>
      <c r="D104" s="10" t="s">
        <v>328</v>
      </c>
      <c r="E104" s="46">
        <v>30000</v>
      </c>
      <c r="F104" s="47">
        <v>27000</v>
      </c>
      <c r="G104" s="48">
        <v>251999.99999999997</v>
      </c>
      <c r="H104" s="49">
        <f t="shared" si="10"/>
        <v>0</v>
      </c>
      <c r="J104" s="50"/>
    </row>
    <row r="105" spans="2:10" x14ac:dyDescent="0.3">
      <c r="B105" s="5">
        <v>4</v>
      </c>
      <c r="C105" s="10" t="s">
        <v>325</v>
      </c>
      <c r="D105" s="10" t="s">
        <v>329</v>
      </c>
      <c r="E105" s="46">
        <v>70000</v>
      </c>
      <c r="F105" s="47">
        <v>63000</v>
      </c>
      <c r="G105" s="48">
        <v>588000</v>
      </c>
      <c r="H105" s="49">
        <f t="shared" si="10"/>
        <v>0</v>
      </c>
      <c r="J105" s="50"/>
    </row>
    <row r="106" spans="2:10" x14ac:dyDescent="0.3">
      <c r="B106" s="5">
        <v>5</v>
      </c>
      <c r="C106" s="10" t="s">
        <v>325</v>
      </c>
      <c r="D106" s="10" t="s">
        <v>330</v>
      </c>
      <c r="E106" s="46">
        <v>105000</v>
      </c>
      <c r="F106" s="47">
        <v>94500</v>
      </c>
      <c r="G106" s="48">
        <v>882000</v>
      </c>
      <c r="H106" s="49">
        <f t="shared" si="10"/>
        <v>0</v>
      </c>
      <c r="J106" s="50"/>
    </row>
    <row r="107" spans="2:10" x14ac:dyDescent="0.3">
      <c r="B107" s="5">
        <v>6</v>
      </c>
      <c r="C107" s="10" t="s">
        <v>331</v>
      </c>
      <c r="D107" s="10" t="s">
        <v>332</v>
      </c>
      <c r="E107" s="46">
        <v>1300000</v>
      </c>
      <c r="F107" s="47">
        <v>1170000</v>
      </c>
      <c r="G107" s="48">
        <v>10920000</v>
      </c>
      <c r="H107" s="49">
        <f t="shared" si="10"/>
        <v>2184000</v>
      </c>
      <c r="J107" s="50"/>
    </row>
    <row r="108" spans="2:10" x14ac:dyDescent="0.3">
      <c r="B108" s="5">
        <v>7</v>
      </c>
      <c r="C108" s="10" t="s">
        <v>331</v>
      </c>
      <c r="D108" s="10" t="s">
        <v>327</v>
      </c>
      <c r="E108" s="46">
        <v>140000</v>
      </c>
      <c r="F108" s="47">
        <v>126000</v>
      </c>
      <c r="G108" s="48">
        <v>1176000</v>
      </c>
      <c r="H108" s="49">
        <f t="shared" si="10"/>
        <v>117600</v>
      </c>
      <c r="J108" s="50"/>
    </row>
    <row r="109" spans="2:10" x14ac:dyDescent="0.3">
      <c r="B109" s="5">
        <v>8</v>
      </c>
      <c r="C109" s="10" t="s">
        <v>333</v>
      </c>
      <c r="D109" s="10" t="s">
        <v>328</v>
      </c>
      <c r="E109" s="46">
        <v>86000</v>
      </c>
      <c r="F109" s="47">
        <v>77400</v>
      </c>
      <c r="G109" s="48">
        <v>722400</v>
      </c>
      <c r="H109" s="49">
        <f t="shared" si="10"/>
        <v>0</v>
      </c>
      <c r="J109" s="50"/>
    </row>
    <row r="110" spans="2:10" x14ac:dyDescent="0.3">
      <c r="B110" s="5">
        <v>9</v>
      </c>
      <c r="C110" s="10" t="s">
        <v>331</v>
      </c>
      <c r="D110" s="10" t="s">
        <v>329</v>
      </c>
      <c r="E110" s="46">
        <v>150000</v>
      </c>
      <c r="F110" s="47">
        <v>135000</v>
      </c>
      <c r="G110" s="48">
        <v>1260000</v>
      </c>
      <c r="H110" s="49">
        <f t="shared" si="10"/>
        <v>126000</v>
      </c>
      <c r="J110" s="50"/>
    </row>
    <row r="111" spans="2:10" x14ac:dyDescent="0.3">
      <c r="B111" s="5">
        <v>10</v>
      </c>
      <c r="C111" s="10" t="s">
        <v>331</v>
      </c>
      <c r="D111" s="10" t="s">
        <v>330</v>
      </c>
      <c r="E111" s="46">
        <v>55000</v>
      </c>
      <c r="F111" s="47">
        <v>49500</v>
      </c>
      <c r="G111" s="48">
        <v>461999.99999999994</v>
      </c>
      <c r="H111" s="49">
        <f t="shared" si="10"/>
        <v>0</v>
      </c>
      <c r="J111" s="50"/>
    </row>
    <row r="112" spans="2:10" x14ac:dyDescent="0.3">
      <c r="B112" s="5">
        <v>11</v>
      </c>
      <c r="C112" s="10" t="s">
        <v>334</v>
      </c>
      <c r="D112" s="10" t="s">
        <v>326</v>
      </c>
      <c r="E112" s="46">
        <v>160000</v>
      </c>
      <c r="F112" s="47">
        <v>144000</v>
      </c>
      <c r="G112" s="48">
        <v>1344000</v>
      </c>
      <c r="H112" s="49">
        <f t="shared" si="10"/>
        <v>134400</v>
      </c>
      <c r="J112" s="50"/>
    </row>
    <row r="113" spans="2:10" x14ac:dyDescent="0.3">
      <c r="B113" s="5">
        <v>12</v>
      </c>
      <c r="C113" s="10" t="s">
        <v>334</v>
      </c>
      <c r="D113" s="10" t="s">
        <v>327</v>
      </c>
      <c r="E113" s="46">
        <v>1140000</v>
      </c>
      <c r="F113" s="47">
        <v>1026000</v>
      </c>
      <c r="G113" s="48">
        <v>9576000</v>
      </c>
      <c r="H113" s="49">
        <f t="shared" si="10"/>
        <v>1915200</v>
      </c>
      <c r="J113" s="50"/>
    </row>
    <row r="114" spans="2:10" x14ac:dyDescent="0.3">
      <c r="B114" s="5">
        <v>13</v>
      </c>
      <c r="C114" s="10" t="s">
        <v>334</v>
      </c>
      <c r="D114" s="10" t="s">
        <v>335</v>
      </c>
      <c r="E114" s="46">
        <v>350000</v>
      </c>
      <c r="F114" s="47">
        <v>315000</v>
      </c>
      <c r="G114" s="48">
        <v>2940000</v>
      </c>
      <c r="H114" s="49">
        <f t="shared" si="10"/>
        <v>294000</v>
      </c>
      <c r="J114" s="50"/>
    </row>
    <row r="115" spans="2:10" x14ac:dyDescent="0.3">
      <c r="B115" s="5">
        <v>14</v>
      </c>
      <c r="C115" s="10" t="s">
        <v>334</v>
      </c>
      <c r="D115" s="10" t="s">
        <v>329</v>
      </c>
      <c r="E115" s="46">
        <v>700000</v>
      </c>
      <c r="F115" s="47">
        <v>630000</v>
      </c>
      <c r="G115" s="48">
        <v>5880000</v>
      </c>
      <c r="H115" s="49">
        <f t="shared" si="10"/>
        <v>588000</v>
      </c>
      <c r="J115" s="50"/>
    </row>
    <row r="116" spans="2:10" x14ac:dyDescent="0.3">
      <c r="B116" s="5">
        <v>15</v>
      </c>
      <c r="C116" s="10" t="s">
        <v>334</v>
      </c>
      <c r="D116" s="10" t="s">
        <v>330</v>
      </c>
      <c r="E116" s="46">
        <v>480000</v>
      </c>
      <c r="F116" s="47">
        <v>432000</v>
      </c>
      <c r="G116" s="48">
        <v>4031999.9999999995</v>
      </c>
      <c r="H116" s="49">
        <f t="shared" si="10"/>
        <v>403200</v>
      </c>
      <c r="J116" s="50"/>
    </row>
  </sheetData>
  <mergeCells count="2">
    <mergeCell ref="B8:D8"/>
    <mergeCell ref="B34:C35"/>
  </mergeCells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H6"/>
  <sheetViews>
    <sheetView workbookViewId="0">
      <selection activeCell="H29" sqref="H29"/>
    </sheetView>
  </sheetViews>
  <sheetFormatPr defaultRowHeight="16.5" x14ac:dyDescent="0.3"/>
  <cols>
    <col min="2" max="2" width="14" customWidth="1"/>
    <col min="7" max="7" width="10.25" customWidth="1"/>
  </cols>
  <sheetData>
    <row r="1" spans="1:8" x14ac:dyDescent="0.3">
      <c r="A1" t="s">
        <v>336</v>
      </c>
      <c r="B1" t="s">
        <v>337</v>
      </c>
      <c r="C1" t="s">
        <v>338</v>
      </c>
      <c r="D1" t="s">
        <v>339</v>
      </c>
      <c r="E1" t="s">
        <v>340</v>
      </c>
      <c r="F1" t="s">
        <v>341</v>
      </c>
      <c r="G1" t="s">
        <v>342</v>
      </c>
      <c r="H1" t="s">
        <v>395</v>
      </c>
    </row>
    <row r="2" spans="1:8" x14ac:dyDescent="0.3">
      <c r="A2">
        <v>1</v>
      </c>
      <c r="B2" s="60">
        <v>43831</v>
      </c>
      <c r="C2" t="s">
        <v>344</v>
      </c>
      <c r="D2" t="s">
        <v>345</v>
      </c>
      <c r="E2">
        <v>12000000</v>
      </c>
      <c r="F2">
        <v>1000000</v>
      </c>
      <c r="G2" t="s">
        <v>346</v>
      </c>
      <c r="H2" t="s">
        <v>387</v>
      </c>
    </row>
    <row r="3" spans="1:8" x14ac:dyDescent="0.3">
      <c r="A3">
        <v>4</v>
      </c>
      <c r="B3" s="60">
        <v>43867</v>
      </c>
      <c r="C3" t="s">
        <v>344</v>
      </c>
      <c r="D3" t="s">
        <v>353</v>
      </c>
      <c r="E3">
        <v>11500000</v>
      </c>
      <c r="F3">
        <v>2400000</v>
      </c>
      <c r="G3" t="s">
        <v>351</v>
      </c>
      <c r="H3" t="s">
        <v>387</v>
      </c>
    </row>
    <row r="4" spans="1:8" x14ac:dyDescent="0.3">
      <c r="A4">
        <v>2</v>
      </c>
      <c r="B4" s="60">
        <v>43843</v>
      </c>
      <c r="C4" t="s">
        <v>344</v>
      </c>
      <c r="D4" t="s">
        <v>348</v>
      </c>
      <c r="E4">
        <v>15000000</v>
      </c>
      <c r="F4">
        <v>200000</v>
      </c>
      <c r="G4" t="s">
        <v>346</v>
      </c>
      <c r="H4" t="s">
        <v>388</v>
      </c>
    </row>
    <row r="5" spans="1:8" x14ac:dyDescent="0.3">
      <c r="A5">
        <v>5</v>
      </c>
      <c r="B5" s="60">
        <v>43879</v>
      </c>
      <c r="C5" t="s">
        <v>344</v>
      </c>
      <c r="D5" t="s">
        <v>354</v>
      </c>
      <c r="E5">
        <v>11500000</v>
      </c>
      <c r="F5">
        <v>3000000</v>
      </c>
      <c r="G5" t="s">
        <v>351</v>
      </c>
      <c r="H5" t="s">
        <v>388</v>
      </c>
    </row>
    <row r="6" spans="1:8" x14ac:dyDescent="0.3">
      <c r="A6">
        <v>17</v>
      </c>
      <c r="B6" s="60">
        <v>44023</v>
      </c>
      <c r="C6" t="s">
        <v>367</v>
      </c>
      <c r="D6" t="s">
        <v>369</v>
      </c>
      <c r="E6">
        <v>24000000</v>
      </c>
      <c r="F6">
        <v>1500000</v>
      </c>
      <c r="G6" t="s">
        <v>356</v>
      </c>
      <c r="H6" t="s">
        <v>388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T34"/>
  <sheetViews>
    <sheetView workbookViewId="0">
      <selection activeCell="L19" sqref="L19:L20"/>
    </sheetView>
  </sheetViews>
  <sheetFormatPr defaultRowHeight="16.5" x14ac:dyDescent="0.3"/>
  <cols>
    <col min="2" max="2" width="15.75" style="58" customWidth="1"/>
    <col min="5" max="5" width="11.75" bestFit="1" customWidth="1"/>
    <col min="6" max="6" width="10.625" bestFit="1" customWidth="1"/>
    <col min="7" max="7" width="15.25" customWidth="1"/>
    <col min="8" max="8" width="12.5" customWidth="1"/>
    <col min="11" max="11" width="13.375" bestFit="1" customWidth="1"/>
    <col min="12" max="12" width="9" customWidth="1"/>
    <col min="13" max="18" width="15.25" customWidth="1"/>
    <col min="19" max="19" width="15.875" customWidth="1"/>
    <col min="20" max="20" width="18" customWidth="1"/>
    <col min="21" max="36" width="15.25" customWidth="1"/>
    <col min="37" max="37" width="15.875" customWidth="1"/>
    <col min="38" max="38" width="18" customWidth="1"/>
    <col min="39" max="43" width="15.25" customWidth="1"/>
    <col min="44" max="74" width="15.25" bestFit="1" customWidth="1"/>
    <col min="75" max="75" width="15.875" bestFit="1" customWidth="1"/>
    <col min="76" max="76" width="18" bestFit="1" customWidth="1"/>
  </cols>
  <sheetData>
    <row r="1" spans="1:20" x14ac:dyDescent="0.3">
      <c r="A1" s="51" t="s">
        <v>336</v>
      </c>
      <c r="B1" s="52" t="s">
        <v>337</v>
      </c>
      <c r="C1" s="51" t="s">
        <v>338</v>
      </c>
      <c r="D1" s="51" t="s">
        <v>339</v>
      </c>
      <c r="E1" s="51" t="s">
        <v>340</v>
      </c>
      <c r="F1" s="51" t="s">
        <v>341</v>
      </c>
      <c r="G1" s="51" t="s">
        <v>342</v>
      </c>
      <c r="H1" s="53" t="s">
        <v>343</v>
      </c>
      <c r="K1" t="s">
        <v>338</v>
      </c>
      <c r="L1" t="s">
        <v>385</v>
      </c>
    </row>
    <row r="2" spans="1:20" x14ac:dyDescent="0.3">
      <c r="A2" s="54">
        <v>1</v>
      </c>
      <c r="B2" s="55">
        <v>43831</v>
      </c>
      <c r="C2" s="54" t="s">
        <v>344</v>
      </c>
      <c r="D2" s="54" t="s">
        <v>345</v>
      </c>
      <c r="E2" s="56">
        <v>12000000</v>
      </c>
      <c r="F2" s="56">
        <v>1000000</v>
      </c>
      <c r="G2" s="54" t="s">
        <v>346</v>
      </c>
      <c r="H2" s="57" t="s">
        <v>347</v>
      </c>
    </row>
    <row r="3" spans="1:20" x14ac:dyDescent="0.3">
      <c r="A3" s="54">
        <v>2</v>
      </c>
      <c r="B3" s="55">
        <v>43843</v>
      </c>
      <c r="C3" s="54" t="s">
        <v>344</v>
      </c>
      <c r="D3" s="54" t="s">
        <v>348</v>
      </c>
      <c r="E3" s="56">
        <v>15000000</v>
      </c>
      <c r="F3" s="56">
        <v>200000</v>
      </c>
      <c r="G3" s="54" t="s">
        <v>346</v>
      </c>
      <c r="H3" s="57" t="s">
        <v>349</v>
      </c>
      <c r="M3" t="s">
        <v>337</v>
      </c>
      <c r="N3" t="s">
        <v>394</v>
      </c>
    </row>
    <row r="4" spans="1:20" x14ac:dyDescent="0.3">
      <c r="A4" s="54">
        <v>3</v>
      </c>
      <c r="B4" s="55">
        <v>43855</v>
      </c>
      <c r="C4" s="54" t="s">
        <v>344</v>
      </c>
      <c r="D4" s="54" t="s">
        <v>350</v>
      </c>
      <c r="E4" s="56">
        <v>21000000</v>
      </c>
      <c r="F4" s="56">
        <v>1600000</v>
      </c>
      <c r="G4" s="54" t="s">
        <v>351</v>
      </c>
      <c r="H4" s="57" t="s">
        <v>352</v>
      </c>
      <c r="M4" t="s">
        <v>397</v>
      </c>
      <c r="O4" t="s">
        <v>398</v>
      </c>
      <c r="Q4" t="s">
        <v>399</v>
      </c>
      <c r="S4" t="s">
        <v>390</v>
      </c>
      <c r="T4" t="s">
        <v>392</v>
      </c>
    </row>
    <row r="5" spans="1:20" x14ac:dyDescent="0.3">
      <c r="A5" s="54">
        <v>4</v>
      </c>
      <c r="B5" s="55">
        <v>43867</v>
      </c>
      <c r="C5" s="54" t="s">
        <v>344</v>
      </c>
      <c r="D5" s="54" t="s">
        <v>353</v>
      </c>
      <c r="E5" s="56">
        <v>11500000</v>
      </c>
      <c r="F5" s="56">
        <v>2400000</v>
      </c>
      <c r="G5" s="54" t="s">
        <v>351</v>
      </c>
      <c r="H5" s="57" t="s">
        <v>347</v>
      </c>
      <c r="K5" t="s">
        <v>533</v>
      </c>
      <c r="L5" t="s">
        <v>395</v>
      </c>
      <c r="M5" t="s">
        <v>391</v>
      </c>
      <c r="N5" t="s">
        <v>393</v>
      </c>
      <c r="O5" t="s">
        <v>391</v>
      </c>
      <c r="P5" t="s">
        <v>393</v>
      </c>
      <c r="Q5" t="s">
        <v>391</v>
      </c>
      <c r="R5" t="s">
        <v>393</v>
      </c>
    </row>
    <row r="6" spans="1:20" x14ac:dyDescent="0.3">
      <c r="A6" s="54">
        <v>5</v>
      </c>
      <c r="B6" s="55">
        <v>43879</v>
      </c>
      <c r="C6" s="54" t="s">
        <v>344</v>
      </c>
      <c r="D6" s="54" t="s">
        <v>354</v>
      </c>
      <c r="E6" s="56">
        <v>11500000</v>
      </c>
      <c r="F6" s="56">
        <v>3000000</v>
      </c>
      <c r="G6" s="54" t="s">
        <v>351</v>
      </c>
      <c r="H6" s="57" t="s">
        <v>349</v>
      </c>
      <c r="K6" t="s">
        <v>396</v>
      </c>
      <c r="M6" s="59"/>
      <c r="N6" s="59"/>
      <c r="O6" s="59"/>
      <c r="P6" s="59"/>
      <c r="Q6" s="59"/>
      <c r="R6" s="59"/>
      <c r="S6" s="59"/>
      <c r="T6" s="59"/>
    </row>
    <row r="7" spans="1:20" x14ac:dyDescent="0.3">
      <c r="A7" s="54">
        <v>6</v>
      </c>
      <c r="B7" s="55">
        <v>43891</v>
      </c>
      <c r="C7" s="54" t="s">
        <v>344</v>
      </c>
      <c r="D7" s="54" t="s">
        <v>355</v>
      </c>
      <c r="E7" s="56">
        <v>8000000</v>
      </c>
      <c r="F7" s="56">
        <v>2800000</v>
      </c>
      <c r="G7" s="54" t="s">
        <v>356</v>
      </c>
      <c r="H7" s="57" t="s">
        <v>352</v>
      </c>
      <c r="L7" t="s">
        <v>387</v>
      </c>
      <c r="M7" s="59">
        <v>12000000</v>
      </c>
      <c r="N7" s="59">
        <v>1000000</v>
      </c>
      <c r="O7" s="59">
        <v>11500000</v>
      </c>
      <c r="P7" s="59">
        <v>2400000</v>
      </c>
      <c r="Q7" s="59" t="s">
        <v>401</v>
      </c>
      <c r="R7" s="59" t="s">
        <v>401</v>
      </c>
      <c r="S7" s="59">
        <v>11750000</v>
      </c>
      <c r="T7" s="59">
        <v>1700000</v>
      </c>
    </row>
    <row r="8" spans="1:20" x14ac:dyDescent="0.3">
      <c r="A8" s="54">
        <v>7</v>
      </c>
      <c r="B8" s="55">
        <v>43903</v>
      </c>
      <c r="C8" s="54" t="s">
        <v>344</v>
      </c>
      <c r="D8" s="54" t="s">
        <v>357</v>
      </c>
      <c r="E8" s="56">
        <v>15000000</v>
      </c>
      <c r="F8" s="56">
        <v>4500000</v>
      </c>
      <c r="G8" s="54" t="s">
        <v>346</v>
      </c>
      <c r="H8" s="57" t="s">
        <v>347</v>
      </c>
      <c r="L8" t="s">
        <v>388</v>
      </c>
      <c r="M8" s="59">
        <v>15000000</v>
      </c>
      <c r="N8" s="59">
        <v>200000</v>
      </c>
      <c r="O8" s="59">
        <v>11500000</v>
      </c>
      <c r="P8" s="59">
        <v>3000000</v>
      </c>
      <c r="Q8" s="59">
        <v>24000000</v>
      </c>
      <c r="R8" s="59">
        <v>1500000</v>
      </c>
      <c r="S8" s="59">
        <v>16833333.333333332</v>
      </c>
      <c r="T8" s="59">
        <v>1566666.6666666667</v>
      </c>
    </row>
    <row r="9" spans="1:20" x14ac:dyDescent="0.3">
      <c r="A9" s="54">
        <v>8</v>
      </c>
      <c r="B9" s="55">
        <v>43915</v>
      </c>
      <c r="C9" s="54" t="s">
        <v>358</v>
      </c>
      <c r="D9" s="54" t="s">
        <v>359</v>
      </c>
      <c r="E9" s="56">
        <v>21000000</v>
      </c>
      <c r="F9" s="56">
        <v>2600000</v>
      </c>
      <c r="G9" s="54" t="s">
        <v>356</v>
      </c>
      <c r="H9" s="57" t="s">
        <v>349</v>
      </c>
      <c r="K9" t="s">
        <v>400</v>
      </c>
      <c r="M9" s="59">
        <v>13500000</v>
      </c>
      <c r="N9" s="59">
        <v>600000</v>
      </c>
      <c r="O9" s="59">
        <v>11500000</v>
      </c>
      <c r="P9" s="59">
        <v>2700000</v>
      </c>
      <c r="Q9" s="59">
        <v>24000000</v>
      </c>
      <c r="R9" s="59">
        <v>1500000</v>
      </c>
      <c r="S9" s="59">
        <v>14800000</v>
      </c>
      <c r="T9" s="59">
        <v>1620000</v>
      </c>
    </row>
    <row r="10" spans="1:20" x14ac:dyDescent="0.3">
      <c r="A10" s="54">
        <v>9</v>
      </c>
      <c r="B10" s="55">
        <v>43927</v>
      </c>
      <c r="C10" s="54" t="s">
        <v>358</v>
      </c>
      <c r="D10" s="54" t="s">
        <v>360</v>
      </c>
      <c r="E10" s="56">
        <v>11500000</v>
      </c>
      <c r="F10" s="56">
        <v>4000000</v>
      </c>
      <c r="G10" s="54" t="s">
        <v>346</v>
      </c>
      <c r="H10" s="57" t="s">
        <v>352</v>
      </c>
      <c r="K10" t="s">
        <v>531</v>
      </c>
      <c r="M10" s="59"/>
      <c r="N10" s="59"/>
      <c r="O10" s="59"/>
      <c r="P10" s="59"/>
      <c r="Q10" s="59"/>
      <c r="R10" s="59"/>
      <c r="S10" s="59"/>
      <c r="T10" s="59"/>
    </row>
    <row r="11" spans="1:20" x14ac:dyDescent="0.3">
      <c r="A11" s="54">
        <v>10</v>
      </c>
      <c r="B11" s="55">
        <v>43939</v>
      </c>
      <c r="C11" s="54" t="s">
        <v>358</v>
      </c>
      <c r="D11" s="54" t="s">
        <v>361</v>
      </c>
      <c r="E11" s="56">
        <v>8000000</v>
      </c>
      <c r="F11" s="56">
        <v>1500000</v>
      </c>
      <c r="G11" s="54" t="s">
        <v>346</v>
      </c>
      <c r="H11" s="57" t="s">
        <v>347</v>
      </c>
      <c r="L11" t="s">
        <v>386</v>
      </c>
      <c r="M11" s="59">
        <v>21000000</v>
      </c>
      <c r="N11" s="59">
        <v>1600000</v>
      </c>
      <c r="O11" s="59" t="s">
        <v>401</v>
      </c>
      <c r="P11" s="59" t="s">
        <v>401</v>
      </c>
      <c r="Q11" s="59">
        <v>18000000</v>
      </c>
      <c r="R11" s="59">
        <v>3500000</v>
      </c>
      <c r="S11" s="59">
        <v>19500000</v>
      </c>
      <c r="T11" s="59">
        <v>2550000</v>
      </c>
    </row>
    <row r="12" spans="1:20" x14ac:dyDescent="0.3">
      <c r="A12" s="54">
        <v>11</v>
      </c>
      <c r="B12" s="55">
        <v>43951</v>
      </c>
      <c r="C12" s="54" t="s">
        <v>358</v>
      </c>
      <c r="D12" s="54" t="s">
        <v>362</v>
      </c>
      <c r="E12" s="56">
        <v>21000000</v>
      </c>
      <c r="F12" s="56">
        <v>2000000</v>
      </c>
      <c r="G12" s="54" t="s">
        <v>356</v>
      </c>
      <c r="H12" s="57" t="s">
        <v>349</v>
      </c>
      <c r="K12" t="s">
        <v>532</v>
      </c>
      <c r="M12" s="59">
        <v>21000000</v>
      </c>
      <c r="N12" s="59">
        <v>1600000</v>
      </c>
      <c r="O12" s="59" t="s">
        <v>401</v>
      </c>
      <c r="P12" s="59" t="s">
        <v>401</v>
      </c>
      <c r="Q12" s="59">
        <v>18000000</v>
      </c>
      <c r="R12" s="59">
        <v>3500000</v>
      </c>
      <c r="S12" s="59">
        <v>19500000</v>
      </c>
      <c r="T12" s="59">
        <v>2550000</v>
      </c>
    </row>
    <row r="13" spans="1:20" x14ac:dyDescent="0.3">
      <c r="A13" s="54">
        <v>12</v>
      </c>
      <c r="B13" s="55">
        <v>43963</v>
      </c>
      <c r="C13" s="54" t="s">
        <v>358</v>
      </c>
      <c r="D13" s="54" t="s">
        <v>363</v>
      </c>
      <c r="E13" s="56">
        <v>21000000</v>
      </c>
      <c r="F13" s="56">
        <v>3000000</v>
      </c>
      <c r="G13" s="54" t="s">
        <v>351</v>
      </c>
      <c r="H13" s="57" t="s">
        <v>352</v>
      </c>
      <c r="K13" t="s">
        <v>389</v>
      </c>
      <c r="M13" s="59">
        <v>16000000</v>
      </c>
      <c r="N13" s="59">
        <v>933333.33333333337</v>
      </c>
      <c r="O13" s="59">
        <v>11500000</v>
      </c>
      <c r="P13" s="59">
        <v>2700000</v>
      </c>
      <c r="Q13" s="59">
        <v>21000000</v>
      </c>
      <c r="R13" s="59">
        <v>2500000</v>
      </c>
      <c r="S13" s="59">
        <v>16142857.142857144</v>
      </c>
      <c r="T13" s="59">
        <v>1885714.2857142857</v>
      </c>
    </row>
    <row r="14" spans="1:20" x14ac:dyDescent="0.3">
      <c r="A14" s="54">
        <v>13</v>
      </c>
      <c r="B14" s="55">
        <v>43975</v>
      </c>
      <c r="C14" s="54" t="s">
        <v>358</v>
      </c>
      <c r="D14" s="54" t="s">
        <v>364</v>
      </c>
      <c r="E14" s="56">
        <v>24000000</v>
      </c>
      <c r="F14" s="56">
        <v>3500000</v>
      </c>
      <c r="G14" s="54" t="s">
        <v>356</v>
      </c>
      <c r="H14" s="57" t="s">
        <v>347</v>
      </c>
    </row>
    <row r="15" spans="1:20" x14ac:dyDescent="0.3">
      <c r="A15" s="54">
        <v>14</v>
      </c>
      <c r="B15" s="55">
        <v>43987</v>
      </c>
      <c r="C15" s="54" t="s">
        <v>358</v>
      </c>
      <c r="D15" s="54" t="s">
        <v>365</v>
      </c>
      <c r="E15" s="56">
        <v>8000000</v>
      </c>
      <c r="F15" s="56">
        <v>2700000</v>
      </c>
      <c r="G15" s="54" t="s">
        <v>351</v>
      </c>
      <c r="H15" s="57" t="s">
        <v>349</v>
      </c>
    </row>
    <row r="16" spans="1:20" x14ac:dyDescent="0.3">
      <c r="A16" s="54">
        <v>15</v>
      </c>
      <c r="B16" s="55">
        <v>43999</v>
      </c>
      <c r="C16" s="54" t="s">
        <v>358</v>
      </c>
      <c r="D16" s="54" t="s">
        <v>366</v>
      </c>
      <c r="E16" s="56">
        <v>12000000</v>
      </c>
      <c r="F16" s="56">
        <v>1900000</v>
      </c>
      <c r="G16" s="54" t="s">
        <v>351</v>
      </c>
      <c r="H16" s="57" t="s">
        <v>352</v>
      </c>
    </row>
    <row r="17" spans="1:8" x14ac:dyDescent="0.3">
      <c r="A17" s="54">
        <v>16</v>
      </c>
      <c r="B17" s="55">
        <v>44011</v>
      </c>
      <c r="C17" s="54" t="s">
        <v>367</v>
      </c>
      <c r="D17" s="54" t="s">
        <v>368</v>
      </c>
      <c r="E17" s="56">
        <v>21000000</v>
      </c>
      <c r="F17" s="56">
        <v>2400000</v>
      </c>
      <c r="G17" s="54" t="s">
        <v>351</v>
      </c>
      <c r="H17" s="57" t="s">
        <v>347</v>
      </c>
    </row>
    <row r="18" spans="1:8" x14ac:dyDescent="0.3">
      <c r="A18" s="54">
        <v>17</v>
      </c>
      <c r="B18" s="55">
        <v>44023</v>
      </c>
      <c r="C18" s="54" t="s">
        <v>367</v>
      </c>
      <c r="D18" s="54" t="s">
        <v>369</v>
      </c>
      <c r="E18" s="56">
        <v>24000000</v>
      </c>
      <c r="F18" s="56">
        <v>1500000</v>
      </c>
      <c r="G18" s="54" t="s">
        <v>356</v>
      </c>
      <c r="H18" s="57" t="s">
        <v>349</v>
      </c>
    </row>
    <row r="19" spans="1:8" x14ac:dyDescent="0.3">
      <c r="A19" s="54">
        <v>18</v>
      </c>
      <c r="B19" s="55">
        <v>44035</v>
      </c>
      <c r="C19" s="54" t="s">
        <v>367</v>
      </c>
      <c r="D19" s="54" t="s">
        <v>370</v>
      </c>
      <c r="E19" s="56">
        <v>18000000</v>
      </c>
      <c r="F19" s="56">
        <v>3500000</v>
      </c>
      <c r="G19" s="54" t="s">
        <v>346</v>
      </c>
      <c r="H19" s="57" t="s">
        <v>352</v>
      </c>
    </row>
    <row r="20" spans="1:8" x14ac:dyDescent="0.3">
      <c r="A20" s="54">
        <v>19</v>
      </c>
      <c r="B20" s="55">
        <v>44047</v>
      </c>
      <c r="C20" s="54" t="s">
        <v>367</v>
      </c>
      <c r="D20" s="54" t="s">
        <v>371</v>
      </c>
      <c r="E20" s="56">
        <v>21000000</v>
      </c>
      <c r="F20" s="56">
        <v>3200000</v>
      </c>
      <c r="G20" s="54" t="s">
        <v>356</v>
      </c>
      <c r="H20" s="57" t="s">
        <v>347</v>
      </c>
    </row>
    <row r="21" spans="1:8" x14ac:dyDescent="0.3">
      <c r="A21" s="54">
        <v>20</v>
      </c>
      <c r="B21" s="55">
        <v>44059</v>
      </c>
      <c r="C21" s="54" t="s">
        <v>367</v>
      </c>
      <c r="D21" s="54" t="s">
        <v>372</v>
      </c>
      <c r="E21" s="56">
        <v>11500000</v>
      </c>
      <c r="F21" s="56">
        <v>1000000</v>
      </c>
      <c r="G21" s="54" t="s">
        <v>346</v>
      </c>
      <c r="H21" s="57" t="s">
        <v>349</v>
      </c>
    </row>
    <row r="22" spans="1:8" x14ac:dyDescent="0.3">
      <c r="A22" s="54">
        <v>21</v>
      </c>
      <c r="B22" s="55">
        <v>44071</v>
      </c>
      <c r="C22" s="54" t="s">
        <v>367</v>
      </c>
      <c r="D22" s="54" t="s">
        <v>373</v>
      </c>
      <c r="E22" s="56">
        <v>8000000</v>
      </c>
      <c r="F22" s="56">
        <v>2400000</v>
      </c>
      <c r="G22" s="54" t="s">
        <v>346</v>
      </c>
      <c r="H22" s="57" t="s">
        <v>352</v>
      </c>
    </row>
    <row r="23" spans="1:8" x14ac:dyDescent="0.3">
      <c r="A23" s="54">
        <v>22</v>
      </c>
      <c r="B23" s="55">
        <v>44083</v>
      </c>
      <c r="C23" s="54" t="s">
        <v>367</v>
      </c>
      <c r="D23" s="54" t="s">
        <v>374</v>
      </c>
      <c r="E23" s="56">
        <v>18000000</v>
      </c>
      <c r="F23" s="56">
        <v>1000000</v>
      </c>
      <c r="G23" s="54" t="s">
        <v>346</v>
      </c>
      <c r="H23" s="57" t="s">
        <v>347</v>
      </c>
    </row>
    <row r="24" spans="1:8" x14ac:dyDescent="0.3">
      <c r="A24" s="54">
        <v>23</v>
      </c>
      <c r="B24" s="55">
        <v>44095</v>
      </c>
      <c r="C24" s="54" t="s">
        <v>367</v>
      </c>
      <c r="D24" s="54" t="s">
        <v>375</v>
      </c>
      <c r="E24" s="56">
        <v>11500000</v>
      </c>
      <c r="F24" s="56">
        <v>4500000</v>
      </c>
      <c r="G24" s="54" t="s">
        <v>346</v>
      </c>
      <c r="H24" s="57" t="s">
        <v>349</v>
      </c>
    </row>
    <row r="25" spans="1:8" x14ac:dyDescent="0.3">
      <c r="A25" s="54">
        <v>24</v>
      </c>
      <c r="B25" s="55">
        <v>44107</v>
      </c>
      <c r="C25" s="54" t="s">
        <v>376</v>
      </c>
      <c r="D25" s="54" t="s">
        <v>377</v>
      </c>
      <c r="E25" s="56">
        <v>9000000</v>
      </c>
      <c r="F25" s="56">
        <v>2600000</v>
      </c>
      <c r="G25" s="54" t="s">
        <v>351</v>
      </c>
      <c r="H25" s="57" t="s">
        <v>352</v>
      </c>
    </row>
    <row r="26" spans="1:8" x14ac:dyDescent="0.3">
      <c r="A26" s="54">
        <v>25</v>
      </c>
      <c r="B26" s="55">
        <v>44119</v>
      </c>
      <c r="C26" s="54" t="s">
        <v>376</v>
      </c>
      <c r="D26" s="54" t="s">
        <v>378</v>
      </c>
      <c r="E26" s="56">
        <v>18000000</v>
      </c>
      <c r="F26" s="56">
        <v>1400000</v>
      </c>
      <c r="G26" s="54" t="s">
        <v>351</v>
      </c>
      <c r="H26" s="57" t="s">
        <v>347</v>
      </c>
    </row>
    <row r="27" spans="1:8" x14ac:dyDescent="0.3">
      <c r="A27" s="54">
        <v>26</v>
      </c>
      <c r="B27" s="55">
        <v>44131</v>
      </c>
      <c r="C27" s="54" t="s">
        <v>376</v>
      </c>
      <c r="D27" s="54" t="s">
        <v>379</v>
      </c>
      <c r="E27" s="56">
        <v>11500000</v>
      </c>
      <c r="F27" s="56">
        <v>1300000</v>
      </c>
      <c r="G27" s="54" t="s">
        <v>351</v>
      </c>
      <c r="H27" s="57" t="s">
        <v>349</v>
      </c>
    </row>
    <row r="28" spans="1:8" x14ac:dyDescent="0.3">
      <c r="A28" s="54">
        <v>27</v>
      </c>
      <c r="B28" s="55">
        <v>44143</v>
      </c>
      <c r="C28" s="54" t="s">
        <v>376</v>
      </c>
      <c r="D28" s="54" t="s">
        <v>380</v>
      </c>
      <c r="E28" s="56">
        <v>18000000</v>
      </c>
      <c r="F28" s="56">
        <v>1000000</v>
      </c>
      <c r="G28" s="54" t="s">
        <v>356</v>
      </c>
      <c r="H28" s="57" t="s">
        <v>352</v>
      </c>
    </row>
    <row r="29" spans="1:8" x14ac:dyDescent="0.3">
      <c r="A29" s="54">
        <v>28</v>
      </c>
      <c r="B29" s="55">
        <v>44155</v>
      </c>
      <c r="C29" s="54" t="s">
        <v>376</v>
      </c>
      <c r="D29" s="54" t="s">
        <v>381</v>
      </c>
      <c r="E29" s="56">
        <v>18000000</v>
      </c>
      <c r="F29" s="56">
        <v>1500000</v>
      </c>
      <c r="G29" s="54" t="s">
        <v>346</v>
      </c>
      <c r="H29" s="57" t="s">
        <v>347</v>
      </c>
    </row>
    <row r="30" spans="1:8" x14ac:dyDescent="0.3">
      <c r="A30" s="54">
        <v>29</v>
      </c>
      <c r="B30" s="55">
        <v>44167</v>
      </c>
      <c r="C30" s="54" t="s">
        <v>376</v>
      </c>
      <c r="D30" s="54" t="s">
        <v>382</v>
      </c>
      <c r="E30" s="56">
        <v>24000000</v>
      </c>
      <c r="F30" s="56">
        <v>1300000</v>
      </c>
      <c r="G30" s="54" t="s">
        <v>356</v>
      </c>
      <c r="H30" s="57" t="s">
        <v>349</v>
      </c>
    </row>
    <row r="31" spans="1:8" x14ac:dyDescent="0.3">
      <c r="A31" s="54">
        <v>30</v>
      </c>
      <c r="B31" s="55">
        <v>44179</v>
      </c>
      <c r="C31" s="54" t="s">
        <v>376</v>
      </c>
      <c r="D31" s="54" t="s">
        <v>383</v>
      </c>
      <c r="E31" s="56">
        <v>21000000</v>
      </c>
      <c r="F31" s="56">
        <v>3500000</v>
      </c>
      <c r="G31" s="54" t="s">
        <v>346</v>
      </c>
      <c r="H31" s="57" t="s">
        <v>352</v>
      </c>
    </row>
    <row r="32" spans="1:8" x14ac:dyDescent="0.3">
      <c r="A32" s="54">
        <v>31</v>
      </c>
      <c r="B32" s="55">
        <v>44191</v>
      </c>
      <c r="C32" s="54" t="s">
        <v>376</v>
      </c>
      <c r="D32" s="54" t="s">
        <v>384</v>
      </c>
      <c r="E32" s="56">
        <v>24000000</v>
      </c>
      <c r="F32" s="56">
        <v>1000000</v>
      </c>
      <c r="G32" s="54" t="s">
        <v>346</v>
      </c>
      <c r="H32" s="57" t="s">
        <v>347</v>
      </c>
    </row>
    <row r="34" spans="2:2" x14ac:dyDescent="0.3">
      <c r="B34" s="58" t="s">
        <v>479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2:G49"/>
  <sheetViews>
    <sheetView workbookViewId="0">
      <selection activeCell="F40" sqref="F40"/>
    </sheetView>
  </sheetViews>
  <sheetFormatPr defaultRowHeight="16.5" x14ac:dyDescent="0.3"/>
  <cols>
    <col min="2" max="2" width="15.75" bestFit="1" customWidth="1"/>
    <col min="3" max="3" width="11.875" bestFit="1" customWidth="1"/>
  </cols>
  <sheetData>
    <row r="2" spans="2:7" x14ac:dyDescent="0.3">
      <c r="B2" s="61" t="s">
        <v>402</v>
      </c>
    </row>
    <row r="3" spans="2:7" x14ac:dyDescent="0.3">
      <c r="F3" s="1" t="s">
        <v>403</v>
      </c>
      <c r="G3" s="62">
        <v>3200</v>
      </c>
    </row>
    <row r="4" spans="2:7" x14ac:dyDescent="0.3">
      <c r="B4" s="1" t="s">
        <v>404</v>
      </c>
      <c r="C4" s="62">
        <v>3000</v>
      </c>
      <c r="F4" s="1" t="s">
        <v>405</v>
      </c>
      <c r="G4" s="62">
        <v>4600</v>
      </c>
    </row>
    <row r="5" spans="2:7" x14ac:dyDescent="0.3">
      <c r="B5" s="1" t="s">
        <v>406</v>
      </c>
      <c r="C5" s="62">
        <f>G4*C4</f>
        <v>13800000</v>
      </c>
    </row>
    <row r="6" spans="2:7" x14ac:dyDescent="0.3">
      <c r="B6" s="1" t="s">
        <v>407</v>
      </c>
      <c r="C6" s="62">
        <f>G3*C4</f>
        <v>9600000</v>
      </c>
    </row>
    <row r="7" spans="2:7" x14ac:dyDescent="0.3">
      <c r="B7" s="1" t="s">
        <v>408</v>
      </c>
      <c r="C7" s="62">
        <f>C5-C6</f>
        <v>4200000</v>
      </c>
    </row>
    <row r="8" spans="2:7" x14ac:dyDescent="0.3">
      <c r="C8" s="63"/>
    </row>
    <row r="9" spans="2:7" x14ac:dyDescent="0.3">
      <c r="B9" s="1" t="s">
        <v>409</v>
      </c>
      <c r="C9" s="62">
        <f>C10+C11+C12+C13</f>
        <v>1242000</v>
      </c>
    </row>
    <row r="10" spans="2:7" x14ac:dyDescent="0.3">
      <c r="B10" s="1" t="s">
        <v>410</v>
      </c>
      <c r="C10" s="62">
        <f>C5*3%</f>
        <v>414000</v>
      </c>
    </row>
    <row r="11" spans="2:7" x14ac:dyDescent="0.3">
      <c r="B11" s="1" t="s">
        <v>411</v>
      </c>
      <c r="C11" s="62">
        <f>C5*2.5%</f>
        <v>345000</v>
      </c>
    </row>
    <row r="12" spans="2:7" x14ac:dyDescent="0.3">
      <c r="B12" s="1" t="s">
        <v>412</v>
      </c>
      <c r="C12" s="62">
        <f>C5*2%</f>
        <v>276000</v>
      </c>
    </row>
    <row r="13" spans="2:7" x14ac:dyDescent="0.3">
      <c r="B13" s="1" t="s">
        <v>413</v>
      </c>
      <c r="C13" s="62">
        <f>C5*1.5%</f>
        <v>207000</v>
      </c>
    </row>
    <row r="14" spans="2:7" x14ac:dyDescent="0.3">
      <c r="C14" s="63"/>
    </row>
    <row r="15" spans="2:7" x14ac:dyDescent="0.3">
      <c r="B15" s="1" t="s">
        <v>414</v>
      </c>
      <c r="C15" s="62">
        <f>C7-C9</f>
        <v>2958000</v>
      </c>
    </row>
    <row r="30" spans="2:6" x14ac:dyDescent="0.3">
      <c r="B30" s="25" t="s">
        <v>477</v>
      </c>
      <c r="C30" s="25"/>
      <c r="D30" s="25"/>
      <c r="E30" s="25"/>
      <c r="F30" s="25"/>
    </row>
    <row r="31" spans="2:6" x14ac:dyDescent="0.3">
      <c r="B31" s="42" t="s">
        <v>1</v>
      </c>
      <c r="C31" s="42" t="s">
        <v>2</v>
      </c>
      <c r="D31" s="17" t="s">
        <v>247</v>
      </c>
      <c r="E31" s="42" t="s">
        <v>248</v>
      </c>
      <c r="F31" s="42" t="s">
        <v>249</v>
      </c>
    </row>
    <row r="32" spans="2:6" x14ac:dyDescent="0.3">
      <c r="B32" s="16" t="s">
        <v>177</v>
      </c>
      <c r="C32" s="16" t="s">
        <v>37</v>
      </c>
      <c r="D32" s="11" t="s">
        <v>256</v>
      </c>
      <c r="E32" s="16" t="s">
        <v>250</v>
      </c>
      <c r="F32" s="16">
        <v>70</v>
      </c>
    </row>
    <row r="33" spans="2:6" x14ac:dyDescent="0.3">
      <c r="B33" s="16" t="s">
        <v>180</v>
      </c>
      <c r="C33" s="16" t="s">
        <v>37</v>
      </c>
      <c r="D33" s="11" t="s">
        <v>254</v>
      </c>
      <c r="E33" s="16" t="s">
        <v>250</v>
      </c>
      <c r="F33" s="16">
        <v>60</v>
      </c>
    </row>
    <row r="34" spans="2:6" x14ac:dyDescent="0.3">
      <c r="B34" s="16" t="s">
        <v>181</v>
      </c>
      <c r="C34" s="16" t="s">
        <v>37</v>
      </c>
      <c r="D34" s="11" t="s">
        <v>256</v>
      </c>
      <c r="E34" s="16" t="s">
        <v>251</v>
      </c>
      <c r="F34" s="16">
        <v>90</v>
      </c>
    </row>
    <row r="35" spans="2:6" x14ac:dyDescent="0.3">
      <c r="B35" s="16" t="s">
        <v>182</v>
      </c>
      <c r="C35" s="16" t="s">
        <v>478</v>
      </c>
      <c r="D35" s="11" t="s">
        <v>256</v>
      </c>
      <c r="E35" s="16" t="s">
        <v>250</v>
      </c>
      <c r="F35" s="16">
        <v>50</v>
      </c>
    </row>
    <row r="36" spans="2:6" x14ac:dyDescent="0.3">
      <c r="B36" s="16" t="s">
        <v>183</v>
      </c>
      <c r="C36" s="16" t="s">
        <v>43</v>
      </c>
      <c r="D36" s="11" t="s">
        <v>259</v>
      </c>
      <c r="E36" s="16" t="s">
        <v>250</v>
      </c>
      <c r="F36" s="16">
        <v>50</v>
      </c>
    </row>
    <row r="37" spans="2:6" x14ac:dyDescent="0.3">
      <c r="B37" s="16" t="s">
        <v>184</v>
      </c>
      <c r="C37" s="16" t="s">
        <v>44</v>
      </c>
      <c r="D37" s="11" t="s">
        <v>254</v>
      </c>
      <c r="E37" s="16" t="s">
        <v>250</v>
      </c>
      <c r="F37" s="16">
        <v>60</v>
      </c>
    </row>
    <row r="38" spans="2:6" x14ac:dyDescent="0.3">
      <c r="B38" s="16" t="s">
        <v>185</v>
      </c>
      <c r="C38" s="16" t="s">
        <v>45</v>
      </c>
      <c r="D38" s="11" t="s">
        <v>256</v>
      </c>
      <c r="E38" s="16" t="s">
        <v>250</v>
      </c>
      <c r="F38" s="16">
        <v>80</v>
      </c>
    </row>
    <row r="39" spans="2:6" x14ac:dyDescent="0.3">
      <c r="B39" s="16" t="s">
        <v>186</v>
      </c>
      <c r="C39" s="16" t="s">
        <v>46</v>
      </c>
      <c r="D39" s="11" t="s">
        <v>259</v>
      </c>
      <c r="E39" s="16" t="s">
        <v>250</v>
      </c>
      <c r="F39" s="16">
        <v>55</v>
      </c>
    </row>
    <row r="40" spans="2:6" x14ac:dyDescent="0.3">
      <c r="B40" s="16" t="s">
        <v>187</v>
      </c>
      <c r="C40" s="16" t="s">
        <v>47</v>
      </c>
      <c r="D40" s="11" t="s">
        <v>254</v>
      </c>
      <c r="E40" s="16" t="s">
        <v>250</v>
      </c>
      <c r="F40" s="16">
        <v>80</v>
      </c>
    </row>
    <row r="41" spans="2:6" x14ac:dyDescent="0.3">
      <c r="B41" s="16" t="s">
        <v>188</v>
      </c>
      <c r="C41" s="16" t="s">
        <v>48</v>
      </c>
      <c r="D41" s="11" t="s">
        <v>256</v>
      </c>
      <c r="E41" s="16" t="s">
        <v>251</v>
      </c>
      <c r="F41" s="16">
        <v>80</v>
      </c>
    </row>
    <row r="42" spans="2:6" x14ac:dyDescent="0.3">
      <c r="B42" s="16" t="s">
        <v>189</v>
      </c>
      <c r="C42" s="16" t="s">
        <v>49</v>
      </c>
      <c r="D42" s="11" t="s">
        <v>259</v>
      </c>
      <c r="E42" s="16" t="s">
        <v>251</v>
      </c>
      <c r="F42" s="16">
        <v>70</v>
      </c>
    </row>
    <row r="43" spans="2:6" x14ac:dyDescent="0.3">
      <c r="B43" s="16" t="s">
        <v>191</v>
      </c>
      <c r="C43" s="16" t="s">
        <v>51</v>
      </c>
      <c r="D43" s="11" t="s">
        <v>256</v>
      </c>
      <c r="E43" s="16" t="s">
        <v>251</v>
      </c>
      <c r="F43" s="16">
        <v>50</v>
      </c>
    </row>
    <row r="44" spans="2:6" x14ac:dyDescent="0.3">
      <c r="B44" s="16" t="s">
        <v>192</v>
      </c>
      <c r="C44" s="16" t="s">
        <v>52</v>
      </c>
      <c r="D44" s="11" t="s">
        <v>256</v>
      </c>
      <c r="E44" s="16" t="s">
        <v>251</v>
      </c>
      <c r="F44" s="16">
        <v>65</v>
      </c>
    </row>
    <row r="45" spans="2:6" x14ac:dyDescent="0.3">
      <c r="B45" s="16" t="s">
        <v>193</v>
      </c>
      <c r="C45" s="16" t="s">
        <v>53</v>
      </c>
      <c r="D45" s="11" t="s">
        <v>254</v>
      </c>
      <c r="E45" s="16" t="s">
        <v>253</v>
      </c>
      <c r="F45" s="16">
        <v>50</v>
      </c>
    </row>
    <row r="46" spans="2:6" x14ac:dyDescent="0.3">
      <c r="B46" s="16" t="s">
        <v>194</v>
      </c>
      <c r="C46" s="16" t="s">
        <v>54</v>
      </c>
      <c r="D46" s="11" t="s">
        <v>256</v>
      </c>
      <c r="E46" s="16" t="s">
        <v>253</v>
      </c>
      <c r="F46" s="16">
        <v>85</v>
      </c>
    </row>
    <row r="47" spans="2:6" x14ac:dyDescent="0.3">
      <c r="B47" s="16" t="s">
        <v>195</v>
      </c>
      <c r="C47" s="16" t="s">
        <v>55</v>
      </c>
      <c r="D47" s="11" t="s">
        <v>256</v>
      </c>
      <c r="E47" s="16" t="s">
        <v>253</v>
      </c>
      <c r="F47" s="16">
        <v>65</v>
      </c>
    </row>
    <row r="48" spans="2:6" x14ac:dyDescent="0.3">
      <c r="B48" s="16" t="s">
        <v>196</v>
      </c>
      <c r="C48" s="16" t="s">
        <v>56</v>
      </c>
      <c r="D48" s="11" t="s">
        <v>254</v>
      </c>
      <c r="E48" s="16" t="s">
        <v>253</v>
      </c>
      <c r="F48" s="16">
        <v>85</v>
      </c>
    </row>
    <row r="49" spans="2:6" x14ac:dyDescent="0.3">
      <c r="B49" s="16" t="s">
        <v>197</v>
      </c>
      <c r="C49" s="16" t="s">
        <v>57</v>
      </c>
      <c r="D49" s="11" t="s">
        <v>256</v>
      </c>
      <c r="E49" s="16" t="s">
        <v>253</v>
      </c>
      <c r="F49" s="16">
        <v>90</v>
      </c>
    </row>
  </sheetData>
  <scenarios current="1" sqref="C15">
    <scenario name="판매수량 증가" locked="1" count="2" user="icam" comment="만든 사람 icam 날짜 2020-04-20">
      <inputCells r="C4" val="4000"/>
      <inputCells r="G4" val="4500"/>
    </scenario>
    <scenario name="판매수량 감소" locked="1" count="2" user="icam" comment="만든 사람 icam 날짜 2020-04-20">
      <inputCells r="C4" val="2000"/>
      <inputCells r="G4" val="4700"/>
    </scenario>
  </scenarios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outlinePr summaryBelow="0"/>
  </sheetPr>
  <dimension ref="B1:F12"/>
  <sheetViews>
    <sheetView showGridLines="0" workbookViewId="0">
      <selection activeCell="F11" sqref="F11"/>
    </sheetView>
  </sheetViews>
  <sheetFormatPr defaultRowHeight="16.5" outlineLevelRow="1" outlineLevelCol="1" x14ac:dyDescent="0.3"/>
  <cols>
    <col min="4" max="6" width="13.75" bestFit="1" customWidth="1" outlineLevel="1"/>
  </cols>
  <sheetData>
    <row r="1" spans="2:6" ht="17.25" thickBot="1" x14ac:dyDescent="0.35"/>
    <row r="2" spans="2:6" x14ac:dyDescent="0.3">
      <c r="B2" s="68" t="s">
        <v>421</v>
      </c>
      <c r="C2" s="69"/>
      <c r="D2" s="75"/>
      <c r="E2" s="75"/>
      <c r="F2" s="75"/>
    </row>
    <row r="3" spans="2:6" collapsed="1" x14ac:dyDescent="0.3">
      <c r="B3" s="67"/>
      <c r="C3" s="67"/>
      <c r="D3" s="76" t="s">
        <v>423</v>
      </c>
      <c r="E3" s="76" t="s">
        <v>418</v>
      </c>
      <c r="F3" s="76" t="s">
        <v>420</v>
      </c>
    </row>
    <row r="4" spans="2:6" ht="27" hidden="1" outlineLevel="1" x14ac:dyDescent="0.3">
      <c r="B4" s="71"/>
      <c r="C4" s="71"/>
      <c r="D4" s="64"/>
      <c r="E4" s="78" t="s">
        <v>419</v>
      </c>
      <c r="F4" s="78" t="s">
        <v>419</v>
      </c>
    </row>
    <row r="5" spans="2:6" x14ac:dyDescent="0.3">
      <c r="B5" s="72" t="s">
        <v>422</v>
      </c>
      <c r="C5" s="73"/>
      <c r="D5" s="70"/>
      <c r="E5" s="70"/>
      <c r="F5" s="70"/>
    </row>
    <row r="6" spans="2:6" outlineLevel="1" x14ac:dyDescent="0.3">
      <c r="B6" s="71"/>
      <c r="C6" s="71" t="s">
        <v>415</v>
      </c>
      <c r="D6" s="65">
        <v>3000</v>
      </c>
      <c r="E6" s="77">
        <v>4000</v>
      </c>
      <c r="F6" s="77">
        <v>2000</v>
      </c>
    </row>
    <row r="7" spans="2:6" outlineLevel="1" x14ac:dyDescent="0.3">
      <c r="B7" s="71"/>
      <c r="C7" s="71" t="s">
        <v>416</v>
      </c>
      <c r="D7" s="65">
        <v>4600</v>
      </c>
      <c r="E7" s="77">
        <v>4500</v>
      </c>
      <c r="F7" s="77">
        <v>4700</v>
      </c>
    </row>
    <row r="8" spans="2:6" x14ac:dyDescent="0.3">
      <c r="B8" s="72" t="s">
        <v>424</v>
      </c>
      <c r="C8" s="73"/>
      <c r="D8" s="70"/>
      <c r="E8" s="70"/>
      <c r="F8" s="70"/>
    </row>
    <row r="9" spans="2:6" ht="17.25" outlineLevel="1" thickBot="1" x14ac:dyDescent="0.35">
      <c r="B9" s="74"/>
      <c r="C9" s="74" t="s">
        <v>417</v>
      </c>
      <c r="D9" s="66">
        <v>2958000</v>
      </c>
      <c r="E9" s="66">
        <v>3580000</v>
      </c>
      <c r="F9" s="66">
        <v>2154000</v>
      </c>
    </row>
    <row r="10" spans="2:6" x14ac:dyDescent="0.3">
      <c r="B10" t="s">
        <v>425</v>
      </c>
    </row>
    <row r="11" spans="2:6" x14ac:dyDescent="0.3">
      <c r="B11" t="s">
        <v>426</v>
      </c>
    </row>
    <row r="12" spans="2:6" x14ac:dyDescent="0.3">
      <c r="B12" t="s">
        <v>427</v>
      </c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J39"/>
  <sheetViews>
    <sheetView workbookViewId="0">
      <selection activeCell="J44" sqref="J44"/>
    </sheetView>
  </sheetViews>
  <sheetFormatPr defaultRowHeight="16.5" x14ac:dyDescent="0.3"/>
  <cols>
    <col min="1" max="1" width="7.5" customWidth="1"/>
    <col min="2" max="2" width="11.625" customWidth="1"/>
    <col min="3" max="3" width="10.875" bestFit="1" customWidth="1"/>
    <col min="4" max="4" width="12.625" customWidth="1"/>
    <col min="11" max="16384" width="9" style="2"/>
  </cols>
  <sheetData>
    <row r="1" spans="2:10" customFormat="1" ht="15.75" customHeight="1" x14ac:dyDescent="0.3"/>
    <row r="2" spans="2:10" customFormat="1" x14ac:dyDescent="0.3">
      <c r="B2" t="s">
        <v>428</v>
      </c>
      <c r="G2" t="s">
        <v>429</v>
      </c>
    </row>
    <row r="3" spans="2:10" customFormat="1" x14ac:dyDescent="0.3">
      <c r="B3" s="79" t="s">
        <v>266</v>
      </c>
      <c r="C3" s="79" t="s">
        <v>430</v>
      </c>
      <c r="D3" s="79" t="s">
        <v>431</v>
      </c>
      <c r="E3" s="79" t="s">
        <v>433</v>
      </c>
      <c r="F3" s="80"/>
      <c r="G3" s="79" t="s">
        <v>266</v>
      </c>
      <c r="H3" s="79" t="s">
        <v>434</v>
      </c>
      <c r="I3" s="79" t="s">
        <v>431</v>
      </c>
      <c r="J3" s="79" t="s">
        <v>432</v>
      </c>
    </row>
    <row r="4" spans="2:10" customFormat="1" x14ac:dyDescent="0.3">
      <c r="B4" s="81" t="s">
        <v>435</v>
      </c>
      <c r="C4" s="82">
        <v>500000</v>
      </c>
      <c r="D4" s="82">
        <v>600000</v>
      </c>
      <c r="E4" s="9">
        <f>D4/C4</f>
        <v>1.2</v>
      </c>
      <c r="F4" s="80"/>
      <c r="G4" s="81" t="s">
        <v>436</v>
      </c>
      <c r="H4" s="82">
        <v>490000</v>
      </c>
      <c r="I4" s="82">
        <v>580000</v>
      </c>
      <c r="J4" s="9">
        <f>I4/H4</f>
        <v>1.1836734693877551</v>
      </c>
    </row>
    <row r="5" spans="2:10" customFormat="1" x14ac:dyDescent="0.3">
      <c r="B5" s="81" t="s">
        <v>437</v>
      </c>
      <c r="C5" s="82">
        <v>530000</v>
      </c>
      <c r="D5" s="82">
        <v>590000</v>
      </c>
      <c r="E5" s="9">
        <f t="shared" ref="E5" si="0">D5/C5</f>
        <v>1.1132075471698113</v>
      </c>
      <c r="F5" s="80"/>
      <c r="G5" s="81" t="s">
        <v>438</v>
      </c>
      <c r="H5" s="82">
        <v>485578</v>
      </c>
      <c r="I5" s="82">
        <v>576000</v>
      </c>
      <c r="J5" s="9">
        <f>I5/H5</f>
        <v>1.1862151909682894</v>
      </c>
    </row>
    <row r="6" spans="2:10" customFormat="1" x14ac:dyDescent="0.3">
      <c r="B6" s="80"/>
      <c r="C6" s="80"/>
      <c r="D6" s="80"/>
      <c r="E6" s="80"/>
      <c r="F6" s="80"/>
      <c r="G6" s="80"/>
      <c r="H6" s="80"/>
      <c r="I6" s="80"/>
      <c r="J6" s="80"/>
    </row>
    <row r="7" spans="2:10" customFormat="1" x14ac:dyDescent="0.3">
      <c r="B7" t="s">
        <v>439</v>
      </c>
      <c r="F7" s="80"/>
      <c r="G7" t="s">
        <v>440</v>
      </c>
      <c r="H7" s="80"/>
      <c r="I7" s="80"/>
      <c r="J7" s="80"/>
    </row>
    <row r="8" spans="2:10" customFormat="1" x14ac:dyDescent="0.3">
      <c r="B8" s="79" t="s">
        <v>441</v>
      </c>
      <c r="C8" s="79" t="s">
        <v>430</v>
      </c>
      <c r="D8" s="79" t="s">
        <v>431</v>
      </c>
      <c r="E8" s="79" t="s">
        <v>432</v>
      </c>
      <c r="F8" s="80"/>
      <c r="G8" s="79" t="s">
        <v>442</v>
      </c>
      <c r="H8" s="79" t="s">
        <v>434</v>
      </c>
      <c r="I8" s="79" t="s">
        <v>431</v>
      </c>
      <c r="J8" s="79" t="s">
        <v>432</v>
      </c>
    </row>
    <row r="9" spans="2:10" customFormat="1" x14ac:dyDescent="0.3">
      <c r="B9" s="81" t="s">
        <v>443</v>
      </c>
      <c r="C9" s="82">
        <v>510000</v>
      </c>
      <c r="D9" s="82">
        <v>460000</v>
      </c>
      <c r="E9" s="9">
        <f>D9/C9</f>
        <v>0.90196078431372551</v>
      </c>
      <c r="F9" s="80"/>
      <c r="G9" s="1" t="s">
        <v>444</v>
      </c>
      <c r="H9" s="62">
        <v>450000</v>
      </c>
      <c r="I9" s="62">
        <v>250000</v>
      </c>
      <c r="J9" s="9">
        <f t="shared" ref="J9:J10" si="1">I9/H9</f>
        <v>0.55555555555555558</v>
      </c>
    </row>
    <row r="10" spans="2:10" customFormat="1" x14ac:dyDescent="0.3">
      <c r="B10" s="83" t="s">
        <v>445</v>
      </c>
      <c r="C10" s="82">
        <v>350000</v>
      </c>
      <c r="D10" s="82">
        <v>200000</v>
      </c>
      <c r="E10" s="9">
        <f>D10/C10</f>
        <v>0.5714285714285714</v>
      </c>
      <c r="G10" s="1" t="s">
        <v>446</v>
      </c>
      <c r="H10" s="62">
        <v>600000</v>
      </c>
      <c r="I10" s="62">
        <v>720000</v>
      </c>
      <c r="J10" s="9">
        <f t="shared" si="1"/>
        <v>1.2</v>
      </c>
    </row>
    <row r="11" spans="2:10" customFormat="1" x14ac:dyDescent="0.3"/>
    <row r="12" spans="2:10" customFormat="1" x14ac:dyDescent="0.3">
      <c r="B12" t="s">
        <v>447</v>
      </c>
    </row>
    <row r="13" spans="2:10" customFormat="1" x14ac:dyDescent="0.3"/>
    <row r="14" spans="2:10" customFormat="1" x14ac:dyDescent="0.3"/>
    <row r="15" spans="2:10" customFormat="1" x14ac:dyDescent="0.3"/>
    <row r="22" spans="2:4" x14ac:dyDescent="0.3">
      <c r="D22" s="84"/>
    </row>
    <row r="24" spans="2:4" x14ac:dyDescent="0.3">
      <c r="D24" s="85"/>
    </row>
    <row r="26" spans="2:4" x14ac:dyDescent="0.3">
      <c r="D26" s="85"/>
    </row>
    <row r="28" spans="2:4" x14ac:dyDescent="0.3">
      <c r="B28" s="6" t="s">
        <v>448</v>
      </c>
      <c r="C28" s="6"/>
      <c r="D28" s="6"/>
    </row>
    <row r="29" spans="2:4" x14ac:dyDescent="0.3">
      <c r="B29" s="8" t="s">
        <v>1</v>
      </c>
      <c r="C29" s="8" t="s">
        <v>449</v>
      </c>
      <c r="D29" s="11" t="s">
        <v>450</v>
      </c>
    </row>
    <row r="30" spans="2:4" x14ac:dyDescent="0.3">
      <c r="B30" s="8">
        <v>1</v>
      </c>
      <c r="C30" s="86" t="s">
        <v>451</v>
      </c>
      <c r="D30" s="11">
        <v>13</v>
      </c>
    </row>
    <row r="31" spans="2:4" x14ac:dyDescent="0.3">
      <c r="B31" s="8">
        <v>2</v>
      </c>
      <c r="C31" s="86" t="s">
        <v>452</v>
      </c>
      <c r="D31" s="11">
        <v>7</v>
      </c>
    </row>
    <row r="32" spans="2:4" x14ac:dyDescent="0.3">
      <c r="B32" s="8">
        <v>3</v>
      </c>
      <c r="C32" s="86" t="s">
        <v>453</v>
      </c>
      <c r="D32" s="11">
        <v>4</v>
      </c>
    </row>
    <row r="33" spans="2:4" x14ac:dyDescent="0.3">
      <c r="B33" s="8">
        <v>4</v>
      </c>
      <c r="C33" s="86" t="s">
        <v>454</v>
      </c>
      <c r="D33" s="17">
        <v>10</v>
      </c>
    </row>
    <row r="34" spans="2:4" x14ac:dyDescent="0.3">
      <c r="B34" s="8">
        <v>5</v>
      </c>
      <c r="C34" s="86" t="s">
        <v>455</v>
      </c>
      <c r="D34" s="17">
        <v>5</v>
      </c>
    </row>
    <row r="35" spans="2:4" x14ac:dyDescent="0.3">
      <c r="B35" s="8">
        <v>6</v>
      </c>
      <c r="C35" s="86" t="s">
        <v>456</v>
      </c>
      <c r="D35" s="17">
        <v>2</v>
      </c>
    </row>
    <row r="36" spans="2:4" x14ac:dyDescent="0.3">
      <c r="B36" s="8">
        <v>7</v>
      </c>
      <c r="C36" s="86" t="s">
        <v>457</v>
      </c>
      <c r="D36" s="17">
        <v>1</v>
      </c>
    </row>
    <row r="38" spans="2:4" x14ac:dyDescent="0.3">
      <c r="D38" s="85"/>
    </row>
    <row r="39" spans="2:4" x14ac:dyDescent="0.3">
      <c r="B39" t="s">
        <v>458</v>
      </c>
    </row>
  </sheetData>
  <phoneticPr fontId="1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2:F18"/>
  <sheetViews>
    <sheetView topLeftCell="B1" workbookViewId="0">
      <selection activeCell="G9" sqref="G9"/>
    </sheetView>
  </sheetViews>
  <sheetFormatPr defaultRowHeight="16.5" x14ac:dyDescent="0.3"/>
  <cols>
    <col min="4" max="4" width="13.75" customWidth="1"/>
    <col min="5" max="5" width="15.75" customWidth="1"/>
    <col min="6" max="6" width="11.25" bestFit="1" customWidth="1"/>
  </cols>
  <sheetData>
    <row r="2" spans="2:6" x14ac:dyDescent="0.3">
      <c r="B2" s="25" t="s">
        <v>0</v>
      </c>
      <c r="C2" s="25"/>
      <c r="D2" s="25"/>
      <c r="E2" s="25"/>
      <c r="F2" s="25" t="s">
        <v>475</v>
      </c>
    </row>
    <row r="3" spans="2:6" x14ac:dyDescent="0.3">
      <c r="B3" s="11" t="s">
        <v>1</v>
      </c>
      <c r="C3" s="11" t="s">
        <v>264</v>
      </c>
      <c r="D3" s="11" t="s">
        <v>265</v>
      </c>
      <c r="E3" s="42" t="s">
        <v>476</v>
      </c>
      <c r="F3" s="11" t="s">
        <v>267</v>
      </c>
    </row>
    <row r="4" spans="2:6" x14ac:dyDescent="0.3">
      <c r="B4" s="5">
        <v>1</v>
      </c>
      <c r="C4" s="5" t="s">
        <v>272</v>
      </c>
      <c r="D4" s="11" t="s">
        <v>273</v>
      </c>
      <c r="E4" s="16">
        <v>70</v>
      </c>
      <c r="F4" s="89">
        <v>1860000</v>
      </c>
    </row>
    <row r="5" spans="2:6" x14ac:dyDescent="0.3">
      <c r="B5" s="5">
        <v>2</v>
      </c>
      <c r="C5" s="5" t="s">
        <v>276</v>
      </c>
      <c r="D5" s="11" t="s">
        <v>273</v>
      </c>
      <c r="E5" s="16">
        <v>80</v>
      </c>
      <c r="F5" s="89">
        <v>1065000</v>
      </c>
    </row>
    <row r="6" spans="2:6" x14ac:dyDescent="0.3">
      <c r="B6" s="5">
        <v>3</v>
      </c>
      <c r="C6" s="5" t="s">
        <v>278</v>
      </c>
      <c r="D6" s="11" t="s">
        <v>273</v>
      </c>
      <c r="E6" s="16">
        <v>60</v>
      </c>
      <c r="F6" s="89">
        <v>1762500</v>
      </c>
    </row>
    <row r="7" spans="2:6" x14ac:dyDescent="0.3">
      <c r="B7" s="5">
        <v>4</v>
      </c>
      <c r="C7" s="5" t="s">
        <v>281</v>
      </c>
      <c r="D7" s="11" t="s">
        <v>273</v>
      </c>
      <c r="E7" s="16">
        <v>90</v>
      </c>
      <c r="F7" s="89">
        <v>968000</v>
      </c>
    </row>
    <row r="8" spans="2:6" x14ac:dyDescent="0.3">
      <c r="B8" s="5">
        <v>5</v>
      </c>
      <c r="C8" s="5" t="s">
        <v>284</v>
      </c>
      <c r="D8" s="11" t="s">
        <v>273</v>
      </c>
      <c r="E8" s="16">
        <v>50</v>
      </c>
      <c r="F8" s="89">
        <v>1287000</v>
      </c>
    </row>
    <row r="9" spans="2:6" x14ac:dyDescent="0.3">
      <c r="B9" s="5">
        <v>6</v>
      </c>
      <c r="C9" s="5" t="s">
        <v>286</v>
      </c>
      <c r="D9" s="11" t="s">
        <v>273</v>
      </c>
      <c r="E9" s="16">
        <v>50</v>
      </c>
      <c r="F9" s="89">
        <v>1495000</v>
      </c>
    </row>
    <row r="10" spans="2:6" x14ac:dyDescent="0.3">
      <c r="B10" s="5">
        <v>7</v>
      </c>
      <c r="C10" s="5" t="s">
        <v>287</v>
      </c>
      <c r="D10" s="11" t="s">
        <v>273</v>
      </c>
      <c r="E10" s="16">
        <v>60</v>
      </c>
      <c r="F10" s="89">
        <v>1171800</v>
      </c>
    </row>
    <row r="11" spans="2:6" x14ac:dyDescent="0.3">
      <c r="B11" s="5">
        <v>8</v>
      </c>
      <c r="C11" s="5" t="s">
        <v>289</v>
      </c>
      <c r="D11" s="11" t="s">
        <v>273</v>
      </c>
      <c r="E11" s="16">
        <v>80</v>
      </c>
      <c r="F11" s="89">
        <v>4035000</v>
      </c>
    </row>
    <row r="12" spans="2:6" x14ac:dyDescent="0.3">
      <c r="B12" s="5">
        <v>9</v>
      </c>
      <c r="C12" s="5" t="s">
        <v>291</v>
      </c>
      <c r="D12" s="11" t="s">
        <v>273</v>
      </c>
      <c r="E12" s="16">
        <v>55</v>
      </c>
      <c r="F12" s="89">
        <v>1179000</v>
      </c>
    </row>
    <row r="13" spans="2:6" x14ac:dyDescent="0.3">
      <c r="B13" s="5">
        <v>10</v>
      </c>
      <c r="C13" s="5" t="s">
        <v>293</v>
      </c>
      <c r="D13" s="11" t="s">
        <v>277</v>
      </c>
      <c r="E13" s="16">
        <v>80</v>
      </c>
      <c r="F13" s="89">
        <v>135000</v>
      </c>
    </row>
    <row r="14" spans="2:6" x14ac:dyDescent="0.3">
      <c r="B14" s="5">
        <v>11</v>
      </c>
      <c r="C14" s="5" t="s">
        <v>294</v>
      </c>
      <c r="D14" s="11" t="s">
        <v>277</v>
      </c>
      <c r="E14" s="16">
        <v>80</v>
      </c>
      <c r="F14" s="89">
        <v>1098000</v>
      </c>
    </row>
    <row r="15" spans="2:6" x14ac:dyDescent="0.3">
      <c r="B15" s="5">
        <v>12</v>
      </c>
      <c r="C15" s="5" t="s">
        <v>295</v>
      </c>
      <c r="D15" s="11" t="s">
        <v>277</v>
      </c>
      <c r="E15" s="16">
        <v>70</v>
      </c>
      <c r="F15" s="89">
        <v>2492400</v>
      </c>
    </row>
    <row r="16" spans="2:6" x14ac:dyDescent="0.3">
      <c r="B16" s="5">
        <v>13</v>
      </c>
      <c r="C16" s="5" t="s">
        <v>296</v>
      </c>
      <c r="D16" s="11" t="s">
        <v>277</v>
      </c>
      <c r="E16" s="16">
        <v>90</v>
      </c>
      <c r="F16" s="89">
        <v>1833000</v>
      </c>
    </row>
    <row r="17" spans="2:6" x14ac:dyDescent="0.3">
      <c r="B17" s="5">
        <v>14</v>
      </c>
      <c r="C17" s="5" t="s">
        <v>298</v>
      </c>
      <c r="D17" s="11" t="s">
        <v>277</v>
      </c>
      <c r="E17" s="11">
        <v>80</v>
      </c>
      <c r="F17" s="89">
        <v>1690000</v>
      </c>
    </row>
    <row r="18" spans="2:6" x14ac:dyDescent="0.3">
      <c r="B18" s="5">
        <v>15</v>
      </c>
      <c r="C18" s="5" t="s">
        <v>299</v>
      </c>
      <c r="D18" s="11" t="s">
        <v>277</v>
      </c>
      <c r="E18" s="11">
        <v>70</v>
      </c>
      <c r="F18" s="89">
        <v>2111100</v>
      </c>
    </row>
  </sheetData>
  <phoneticPr fontId="1" type="noConversion"/>
  <conditionalFormatting sqref="E4:E18">
    <cfRule type="dataBar" priority="3">
      <dataBar>
        <cfvo type="percentile" val="30"/>
        <cfvo type="percentile" val="80"/>
        <color rgb="FF0070C0"/>
      </dataBar>
      <extLst>
        <ext xmlns:x14="http://schemas.microsoft.com/office/spreadsheetml/2009/9/main" uri="{B025F937-C7B1-47D3-B67F-A62EFF666E3E}">
          <x14:id>{DF26A27A-6E9E-4BF3-8919-3C8148971BBA}</x14:id>
        </ext>
      </extLst>
    </cfRule>
  </conditionalFormatting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서식표시">
                <anchor moveWithCells="1" sizeWithCells="1">
                  <from>
                    <xdr:col>7</xdr:col>
                    <xdr:colOff>0</xdr:colOff>
                    <xdr:row>2</xdr:row>
                    <xdr:rowOff>0</xdr:rowOff>
                  </from>
                  <to>
                    <xdr:col>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26A27A-6E9E-4BF3-8919-3C8148971BBA}">
            <x14:dataBar minLength="0" maxLength="100">
              <x14:cfvo type="percentile">
                <xm:f>30</xm:f>
              </x14:cfvo>
              <x14:cfvo type="percentile">
                <xm:f>80</xm:f>
              </x14:cfvo>
              <x14:negativeFillColor rgb="FFFF0000"/>
              <x14:axisColor rgb="FF000000"/>
            </x14:dataBar>
          </x14:cfRule>
          <xm:sqref>E4:E18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B1:M19"/>
  <sheetViews>
    <sheetView workbookViewId="0">
      <selection activeCell="C13" sqref="C13"/>
    </sheetView>
  </sheetViews>
  <sheetFormatPr defaultRowHeight="16.5" x14ac:dyDescent="0.3"/>
  <cols>
    <col min="1" max="1" width="7.125" customWidth="1"/>
    <col min="2" max="2" width="11" customWidth="1"/>
    <col min="3" max="3" width="11.25" style="3" customWidth="1"/>
    <col min="4" max="4" width="18" style="3" customWidth="1"/>
    <col min="5" max="5" width="11.875" style="3" customWidth="1"/>
    <col min="6" max="6" width="15.125" customWidth="1"/>
    <col min="7" max="7" width="12.125" customWidth="1"/>
    <col min="8" max="8" width="3.625" customWidth="1"/>
    <col min="9" max="9" width="11" customWidth="1"/>
    <col min="11" max="11" width="16.625" bestFit="1" customWidth="1"/>
  </cols>
  <sheetData>
    <row r="1" spans="2:13" x14ac:dyDescent="0.3">
      <c r="E1"/>
    </row>
    <row r="2" spans="2:13" x14ac:dyDescent="0.3">
      <c r="E2"/>
    </row>
    <row r="4" spans="2:13" x14ac:dyDescent="0.3">
      <c r="B4" s="87" t="s">
        <v>3</v>
      </c>
      <c r="C4" s="87"/>
      <c r="D4" s="87"/>
      <c r="E4" s="87"/>
      <c r="K4" t="s">
        <v>459</v>
      </c>
    </row>
    <row r="5" spans="2:13" x14ac:dyDescent="0.3">
      <c r="B5" s="11" t="s">
        <v>460</v>
      </c>
      <c r="C5" s="5" t="s">
        <v>461</v>
      </c>
      <c r="D5" s="11" t="s">
        <v>462</v>
      </c>
      <c r="E5" s="11" t="s">
        <v>463</v>
      </c>
      <c r="F5" s="11" t="s">
        <v>464</v>
      </c>
      <c r="G5" s="17" t="s">
        <v>465</v>
      </c>
      <c r="K5" s="8" t="s">
        <v>466</v>
      </c>
      <c r="L5" s="8" t="s">
        <v>467</v>
      </c>
      <c r="M5" s="8" t="s">
        <v>468</v>
      </c>
    </row>
    <row r="6" spans="2:13" x14ac:dyDescent="0.3">
      <c r="B6" s="11"/>
      <c r="C6" s="12"/>
      <c r="D6" s="13"/>
      <c r="E6" s="14"/>
      <c r="F6" s="8"/>
      <c r="G6" s="8"/>
      <c r="K6" s="8" t="s">
        <v>469</v>
      </c>
      <c r="L6" s="8">
        <v>50000</v>
      </c>
      <c r="M6" s="8">
        <v>70000</v>
      </c>
    </row>
    <row r="7" spans="2:13" x14ac:dyDescent="0.3">
      <c r="B7" s="11"/>
      <c r="C7" s="5"/>
      <c r="D7" s="13"/>
      <c r="E7" s="14"/>
      <c r="F7" s="8"/>
      <c r="G7" s="8"/>
      <c r="K7" s="8" t="s">
        <v>470</v>
      </c>
      <c r="L7" s="8">
        <v>80000</v>
      </c>
      <c r="M7" s="8">
        <v>90000</v>
      </c>
    </row>
    <row r="8" spans="2:13" x14ac:dyDescent="0.3">
      <c r="B8" s="11"/>
      <c r="C8" s="12"/>
      <c r="D8" s="5"/>
      <c r="E8" s="14"/>
      <c r="F8" s="8"/>
      <c r="G8" s="8"/>
      <c r="K8" s="8" t="s">
        <v>471</v>
      </c>
      <c r="L8" s="8">
        <v>40000</v>
      </c>
      <c r="M8" s="8">
        <v>50000</v>
      </c>
    </row>
    <row r="9" spans="2:13" x14ac:dyDescent="0.3">
      <c r="B9" s="11"/>
      <c r="C9" s="12"/>
      <c r="D9" s="11"/>
      <c r="E9" s="14"/>
      <c r="F9" s="8"/>
      <c r="G9" s="8"/>
      <c r="K9" s="8" t="s">
        <v>472</v>
      </c>
      <c r="L9" s="8">
        <v>35000</v>
      </c>
      <c r="M9" s="8">
        <v>45000</v>
      </c>
    </row>
    <row r="10" spans="2:13" x14ac:dyDescent="0.3">
      <c r="B10" s="11"/>
      <c r="C10" s="12"/>
      <c r="D10" s="11"/>
      <c r="E10" s="14"/>
      <c r="F10" s="8"/>
      <c r="G10" s="8"/>
    </row>
    <row r="11" spans="2:13" x14ac:dyDescent="0.3">
      <c r="B11" s="11"/>
      <c r="C11" s="12"/>
      <c r="D11" s="11"/>
      <c r="E11" s="14"/>
      <c r="F11" s="8"/>
      <c r="G11" s="8"/>
      <c r="K11" t="s">
        <v>473</v>
      </c>
      <c r="L11">
        <v>205000</v>
      </c>
    </row>
    <row r="12" spans="2:13" x14ac:dyDescent="0.3">
      <c r="B12" s="11"/>
      <c r="C12" s="12"/>
      <c r="D12" s="11"/>
      <c r="E12" s="14"/>
      <c r="F12" s="8"/>
      <c r="G12" s="8"/>
      <c r="K12" t="s">
        <v>474</v>
      </c>
      <c r="L12">
        <v>255000</v>
      </c>
    </row>
    <row r="13" spans="2:13" x14ac:dyDescent="0.3">
      <c r="B13" s="8"/>
      <c r="C13" s="7"/>
      <c r="D13" s="5"/>
      <c r="E13" s="8"/>
      <c r="F13" s="8"/>
      <c r="G13" s="8"/>
    </row>
    <row r="14" spans="2:13" x14ac:dyDescent="0.3">
      <c r="B14" s="8"/>
      <c r="C14" s="7"/>
      <c r="D14" s="5"/>
      <c r="E14" s="8"/>
      <c r="F14" s="8"/>
      <c r="G14" s="8"/>
    </row>
    <row r="15" spans="2:13" x14ac:dyDescent="0.3">
      <c r="B15" s="8"/>
      <c r="C15" s="7"/>
      <c r="D15" s="5"/>
      <c r="E15" s="8"/>
      <c r="F15" s="8"/>
      <c r="G15" s="8"/>
      <c r="K15" s="88">
        <v>45410.481446759259</v>
      </c>
    </row>
    <row r="16" spans="2:13" x14ac:dyDescent="0.3">
      <c r="B16" s="8"/>
      <c r="C16" s="7"/>
      <c r="D16" s="5"/>
      <c r="E16" s="8"/>
      <c r="F16" s="8"/>
      <c r="G16" s="8"/>
    </row>
    <row r="17" spans="2:7" x14ac:dyDescent="0.3">
      <c r="B17" s="8"/>
      <c r="C17" s="7"/>
      <c r="D17" s="5"/>
      <c r="E17" s="8"/>
      <c r="F17" s="8"/>
      <c r="G17" s="8"/>
    </row>
    <row r="18" spans="2:7" x14ac:dyDescent="0.3">
      <c r="C18" s="4"/>
      <c r="E18"/>
    </row>
    <row r="19" spans="2:7" x14ac:dyDescent="0.3">
      <c r="C19" s="4"/>
      <c r="E19"/>
    </row>
  </sheetData>
  <phoneticPr fontId="1" type="noConversion"/>
  <pageMargins left="0.7" right="0.7" top="0.75" bottom="0.75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15361" r:id="rId4" name="Cmd내역입력">
          <controlPr defaultSize="0" autoLine="0" autoPict="0" r:id="rId5">
            <anchor moveWithCells="1">
              <from>
                <xdr:col>8</xdr:col>
                <xdr:colOff>104775</xdr:colOff>
                <xdr:row>7</xdr:row>
                <xdr:rowOff>57150</xdr:rowOff>
              </from>
              <to>
                <xdr:col>9</xdr:col>
                <xdr:colOff>495300</xdr:colOff>
                <xdr:row>9</xdr:row>
                <xdr:rowOff>85725</xdr:rowOff>
              </to>
            </anchor>
          </controlPr>
        </control>
      </mc:Choice>
      <mc:Fallback>
        <control shapeId="15361" r:id="rId4" name="Cmd내역입력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11</vt:i4>
      </vt:variant>
      <vt:variant>
        <vt:lpstr>이름이 지정된 범위</vt:lpstr>
      </vt:variant>
      <vt:variant>
        <vt:i4>7</vt:i4>
      </vt:variant>
    </vt:vector>
  </HeadingPairs>
  <TitlesOfParts>
    <vt:vector size="18" baseType="lpstr">
      <vt:lpstr>기본작업-1</vt:lpstr>
      <vt:lpstr>기본작업-2</vt:lpstr>
      <vt:lpstr>기본작업-3</vt:lpstr>
      <vt:lpstr>계산작업</vt:lpstr>
      <vt:lpstr>계약회원</vt:lpstr>
      <vt:lpstr>분석작업-1</vt:lpstr>
      <vt:lpstr>분석작업-2</vt:lpstr>
      <vt:lpstr>시나리오 요약</vt:lpstr>
      <vt:lpstr>기타작업-1</vt:lpstr>
      <vt:lpstr>기타작업-2</vt:lpstr>
      <vt:lpstr>기타작업-3</vt:lpstr>
      <vt:lpstr>'기본작업-1'!Criteria</vt:lpstr>
      <vt:lpstr>'기본작업-1'!Extract</vt:lpstr>
      <vt:lpstr>'기본작업-1'!Print_Area</vt:lpstr>
      <vt:lpstr>'기본작업-2'!Print_Area</vt:lpstr>
      <vt:lpstr>'기본작업-3'!Print_Titles</vt:lpstr>
      <vt:lpstr>판매가</vt:lpstr>
      <vt:lpstr>판매수량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ican2</dc:creator>
  <cp:lastModifiedBy>아이티버팀</cp:lastModifiedBy>
  <cp:lastPrinted>2021-05-20T03:01:03Z</cp:lastPrinted>
  <dcterms:created xsi:type="dcterms:W3CDTF">2016-04-11T07:21:32Z</dcterms:created>
  <dcterms:modified xsi:type="dcterms:W3CDTF">2021-05-20T03:01:50Z</dcterms:modified>
</cp:coreProperties>
</file>