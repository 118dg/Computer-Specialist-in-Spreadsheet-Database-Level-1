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4-특강(3단계)\07-시험직전모의고사 엑셀9\"/>
    </mc:Choice>
  </mc:AlternateContent>
  <bookViews>
    <workbookView showVerticalScroll="0" xWindow="600" yWindow="60" windowWidth="8685" windowHeight="4995" tabRatio="653"/>
  </bookViews>
  <sheets>
    <sheet name="기본작업-1" sheetId="2" r:id="rId1"/>
    <sheet name="기본작업-2" sheetId="9" r:id="rId2"/>
    <sheet name="계산작업" sheetId="3" r:id="rId3"/>
    <sheet name="계산작업2" sheetId="10" r:id="rId4"/>
    <sheet name="오전자료" sheetId="12" r:id="rId5"/>
    <sheet name="분석작업-1" sheetId="13" r:id="rId6"/>
    <sheet name="분석작업-2" sheetId="5" r:id="rId7"/>
    <sheet name="기타작업-1" sheetId="6" r:id="rId8"/>
    <sheet name="기타작업-2" sheetId="14" r:id="rId9"/>
    <sheet name="기타작업-3" sheetId="8" r:id="rId10"/>
  </sheets>
  <functionGroups builtInGroupCount="18"/>
  <definedNames>
    <definedName name="_xlnm._FilterDatabase" localSheetId="0" hidden="1">'기본작업-1'!$B$2:$H$22</definedName>
    <definedName name="_xlnm.Criteria" localSheetId="0">'기본작업-1'!$B$24:$B$25</definedName>
    <definedName name="_xlnm.Extract" localSheetId="0">'기본작업-1'!$B$28:$H$28</definedName>
    <definedName name="_xlnm.Print_Area" localSheetId="0">'기본작업-1'!$B$2:$C$22,'기본작업-1'!$E$2:$E$22</definedName>
  </definedNames>
  <calcPr calcId="162913"/>
  <pivotCaches>
    <pivotCache cacheId="0" r:id="rId11"/>
  </pivotCaches>
</workbook>
</file>

<file path=xl/calcChain.xml><?xml version="1.0" encoding="utf-8"?>
<calcChain xmlns="http://schemas.openxmlformats.org/spreadsheetml/2006/main">
  <c r="G6" i="3" l="1"/>
  <c r="G4" i="3"/>
  <c r="E5" i="3"/>
  <c r="E6" i="3"/>
  <c r="E7" i="3"/>
  <c r="E8" i="3"/>
  <c r="E9" i="3"/>
  <c r="E10" i="3"/>
  <c r="E11" i="3"/>
  <c r="E12" i="3"/>
  <c r="E13" i="3"/>
  <c r="E4" i="3"/>
  <c r="E14" i="14" l="1"/>
  <c r="E13" i="14"/>
  <c r="E12" i="14"/>
  <c r="E11" i="14"/>
  <c r="E10" i="14"/>
  <c r="E9" i="14"/>
  <c r="E8" i="14"/>
  <c r="E7" i="14"/>
  <c r="E6" i="14"/>
  <c r="E5" i="14"/>
  <c r="E4" i="14"/>
  <c r="E3" i="14"/>
  <c r="F9" i="6" l="1"/>
  <c r="F8" i="6"/>
  <c r="F7" i="6"/>
  <c r="F6" i="6"/>
  <c r="F5" i="6"/>
  <c r="F59" i="10" l="1"/>
  <c r="F60" i="10"/>
  <c r="F61" i="10"/>
  <c r="F62" i="10"/>
  <c r="F63" i="10"/>
  <c r="F64" i="10"/>
  <c r="F65" i="10"/>
  <c r="F66" i="10"/>
  <c r="F58" i="10"/>
  <c r="G49" i="10"/>
  <c r="E44" i="10"/>
  <c r="E45" i="10"/>
  <c r="E46" i="10"/>
  <c r="E47" i="10"/>
  <c r="E48" i="10"/>
  <c r="E49" i="10"/>
  <c r="E50" i="10"/>
  <c r="E51" i="10"/>
  <c r="E52" i="10"/>
  <c r="E43" i="10"/>
  <c r="H29" i="10"/>
  <c r="H30" i="10"/>
  <c r="H31" i="10"/>
  <c r="H32" i="10"/>
  <c r="H28" i="10"/>
  <c r="F5" i="10"/>
  <c r="F6" i="10"/>
  <c r="F7" i="10"/>
  <c r="F8" i="10"/>
  <c r="F9" i="10"/>
  <c r="F10" i="10"/>
  <c r="F11" i="10"/>
  <c r="F12" i="10"/>
  <c r="F13" i="10"/>
  <c r="F4" i="10"/>
  <c r="E5" i="10"/>
  <c r="E6" i="10"/>
  <c r="E7" i="10"/>
  <c r="E8" i="10"/>
  <c r="E9" i="10"/>
  <c r="E10" i="10"/>
  <c r="E11" i="10"/>
  <c r="E12" i="10"/>
  <c r="E13" i="10"/>
  <c r="E4" i="10"/>
  <c r="I32" i="10"/>
  <c r="I30" i="10"/>
  <c r="I29" i="10"/>
  <c r="I28" i="10"/>
  <c r="I31" i="10"/>
  <c r="Q17" i="3" l="1" a="1"/>
  <c r="Q17" i="3" s="1"/>
  <c r="R17" i="3" a="1"/>
  <c r="R17" i="3" s="1"/>
  <c r="S17" i="3" a="1"/>
  <c r="S17" i="3" s="1"/>
  <c r="Q18" i="3" a="1"/>
  <c r="Q18" i="3" s="1"/>
  <c r="R18" i="3" a="1"/>
  <c r="R18" i="3" s="1"/>
  <c r="S18" i="3" a="1"/>
  <c r="S18" i="3" s="1"/>
  <c r="Q19" i="3" a="1"/>
  <c r="Q19" i="3" s="1"/>
  <c r="R19" i="3" a="1"/>
  <c r="R19" i="3" s="1"/>
  <c r="S19" i="3" a="1"/>
  <c r="S19" i="3" s="1"/>
  <c r="P18" i="3" a="1"/>
  <c r="P18" i="3" s="1"/>
  <c r="P19" i="3" a="1"/>
  <c r="P19" i="3" s="1"/>
  <c r="P17" i="3" a="1"/>
  <c r="P17" i="3" s="1"/>
  <c r="L17" i="3" a="1"/>
  <c r="L17" i="3" s="1"/>
  <c r="M17" i="3" a="1"/>
  <c r="M17" i="3" s="1"/>
  <c r="N17" i="3" a="1"/>
  <c r="N17" i="3" s="1"/>
  <c r="L18" i="3" a="1"/>
  <c r="L18" i="3" s="1"/>
  <c r="M18" i="3" a="1"/>
  <c r="M18" i="3" s="1"/>
  <c r="N18" i="3" a="1"/>
  <c r="N18" i="3" s="1"/>
  <c r="L19" i="3" a="1"/>
  <c r="L19" i="3" s="1"/>
  <c r="M19" i="3" a="1"/>
  <c r="M19" i="3" s="1"/>
  <c r="N19" i="3" a="1"/>
  <c r="N19" i="3" s="1"/>
  <c r="K18" i="3" a="1"/>
  <c r="K18" i="3" s="1"/>
  <c r="K19" i="3" a="1"/>
  <c r="K19" i="3" s="1"/>
  <c r="K17" i="3" a="1"/>
  <c r="K17" i="3" s="1"/>
  <c r="M31" i="3"/>
  <c r="M27" i="3"/>
  <c r="M32" i="3"/>
  <c r="M34" i="3"/>
  <c r="M30" i="3"/>
  <c r="M26" i="3"/>
  <c r="M33" i="3"/>
  <c r="M28" i="3"/>
  <c r="M29" i="3"/>
  <c r="M25" i="3"/>
  <c r="N5" i="3" l="1"/>
  <c r="N6" i="3"/>
  <c r="N7" i="3"/>
  <c r="N8" i="3"/>
  <c r="N9" i="3"/>
  <c r="N10" i="3"/>
  <c r="N11" i="3"/>
  <c r="N12" i="3"/>
  <c r="N13" i="3"/>
  <c r="N4" i="3"/>
  <c r="H20" i="3" l="1"/>
  <c r="H21" i="3"/>
  <c r="H22" i="3"/>
  <c r="H23" i="3"/>
  <c r="H24" i="3"/>
  <c r="H25" i="3"/>
  <c r="H26" i="3"/>
  <c r="H27" i="3"/>
  <c r="H28" i="3"/>
  <c r="H29" i="3"/>
  <c r="H30" i="3"/>
  <c r="H31" i="3"/>
  <c r="H32" i="3"/>
  <c r="H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19" i="3"/>
  <c r="B25" i="2" l="1"/>
  <c r="E51" i="9" l="1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3" i="2"/>
</calcChain>
</file>

<file path=xl/sharedStrings.xml><?xml version="1.0" encoding="utf-8"?>
<sst xmlns="http://schemas.openxmlformats.org/spreadsheetml/2006/main" count="698" uniqueCount="389">
  <si>
    <t>이름</t>
  </si>
  <si>
    <t>홍길동</t>
  </si>
  <si>
    <t>이도현</t>
  </si>
  <si>
    <t>한미우</t>
  </si>
  <si>
    <t>박정진</t>
  </si>
  <si>
    <t>윤보라</t>
  </si>
  <si>
    <t>이형태</t>
  </si>
  <si>
    <t>최재석</t>
  </si>
  <si>
    <t>김한응</t>
  </si>
  <si>
    <t>이미라</t>
  </si>
  <si>
    <t>백준걸</t>
  </si>
  <si>
    <t>고수정</t>
  </si>
  <si>
    <t>유응구</t>
  </si>
  <si>
    <t>안은민</t>
  </si>
  <si>
    <t>이병열</t>
  </si>
  <si>
    <t>이충희</t>
  </si>
  <si>
    <t>도경민</t>
  </si>
  <si>
    <t>황선철</t>
  </si>
  <si>
    <t>방극준</t>
  </si>
  <si>
    <t>김주희</t>
  </si>
  <si>
    <t>인정제</t>
  </si>
  <si>
    <t>장기웅</t>
    <phoneticPr fontId="2" type="noConversion"/>
  </si>
  <si>
    <t>인정제</t>
    <phoneticPr fontId="2" type="noConversion"/>
  </si>
  <si>
    <t>이원섭</t>
    <phoneticPr fontId="2" type="noConversion"/>
  </si>
  <si>
    <t>한성현</t>
    <phoneticPr fontId="2" type="noConversion"/>
  </si>
  <si>
    <t>황선철</t>
    <phoneticPr fontId="2" type="noConversion"/>
  </si>
  <si>
    <t>방극준</t>
    <phoneticPr fontId="2" type="noConversion"/>
  </si>
  <si>
    <t>이상봉</t>
    <phoneticPr fontId="2" type="noConversion"/>
  </si>
  <si>
    <t>정은미</t>
    <phoneticPr fontId="2" type="noConversion"/>
  </si>
  <si>
    <t>정태은</t>
    <phoneticPr fontId="2" type="noConversion"/>
  </si>
  <si>
    <t>신경국</t>
    <phoneticPr fontId="2" type="noConversion"/>
  </si>
  <si>
    <t>수험번호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</si>
  <si>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</si>
  <si>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</si>
  <si>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</si>
  <si>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</si>
  <si>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기준일자</t>
    <phoneticPr fontId="1" type="noConversion"/>
  </si>
  <si>
    <t>등록일자</t>
    <phoneticPr fontId="1" type="noConversion"/>
  </si>
  <si>
    <t>사번</t>
  </si>
  <si>
    <t>직무역량</t>
  </si>
  <si>
    <t>행동역량</t>
  </si>
  <si>
    <t>총계</t>
    <phoneticPr fontId="1" type="noConversion"/>
  </si>
  <si>
    <t>직무등급</t>
  </si>
  <si>
    <t>평가년도</t>
  </si>
  <si>
    <t>부서코드</t>
  </si>
  <si>
    <t>입사일</t>
  </si>
  <si>
    <t>C</t>
  </si>
  <si>
    <t>BU6</t>
  </si>
  <si>
    <t>김태준</t>
  </si>
  <si>
    <t>B</t>
  </si>
  <si>
    <t>김원남</t>
  </si>
  <si>
    <t>D</t>
  </si>
  <si>
    <t>임종만</t>
  </si>
  <si>
    <t>A1002</t>
  </si>
  <si>
    <t>BU1</t>
  </si>
  <si>
    <t>이은주</t>
  </si>
  <si>
    <t>A</t>
  </si>
  <si>
    <t>A1003</t>
  </si>
  <si>
    <t>박철진</t>
  </si>
  <si>
    <t>A1004</t>
  </si>
  <si>
    <t>채진욱</t>
  </si>
  <si>
    <t>A1005</t>
  </si>
  <si>
    <t>안병찬</t>
  </si>
  <si>
    <t>A1014</t>
  </si>
  <si>
    <t>F</t>
  </si>
  <si>
    <t>송민희</t>
  </si>
  <si>
    <t>A1040</t>
  </si>
  <si>
    <t>박민선</t>
  </si>
  <si>
    <t>BU2</t>
  </si>
  <si>
    <t>성은희</t>
  </si>
  <si>
    <t>A1006</t>
  </si>
  <si>
    <t>이영호</t>
  </si>
  <si>
    <t>A1007</t>
  </si>
  <si>
    <t>이수영</t>
  </si>
  <si>
    <t>A1008</t>
  </si>
  <si>
    <t>박형주</t>
  </si>
  <si>
    <t>A1009</t>
  </si>
  <si>
    <t>김영철</t>
  </si>
  <si>
    <t>A1019</t>
  </si>
  <si>
    <t>황민희</t>
  </si>
  <si>
    <t>A1020</t>
  </si>
  <si>
    <t>이우현</t>
  </si>
  <si>
    <t>A1021</t>
  </si>
  <si>
    <t>서옥윤</t>
  </si>
  <si>
    <t>A1022</t>
  </si>
  <si>
    <t>안지연</t>
  </si>
  <si>
    <t>A1010</t>
  </si>
  <si>
    <t>BU3</t>
  </si>
  <si>
    <t>정성기</t>
  </si>
  <si>
    <t>A1013</t>
  </si>
  <si>
    <t>성지희</t>
  </si>
  <si>
    <t>A1016</t>
  </si>
  <si>
    <t>송인영</t>
  </si>
  <si>
    <t>A1032</t>
  </si>
  <si>
    <t>장태훈</t>
  </si>
  <si>
    <t>A1041</t>
  </si>
  <si>
    <t>김현희</t>
  </si>
  <si>
    <t>A1045</t>
  </si>
  <si>
    <t>양기식</t>
  </si>
  <si>
    <t>A1046</t>
  </si>
  <si>
    <t>이시경</t>
  </si>
  <si>
    <t>A1047</t>
  </si>
  <si>
    <t>양경민</t>
  </si>
  <si>
    <t>이상권</t>
  </si>
  <si>
    <t>A1011</t>
  </si>
  <si>
    <t>BU4</t>
  </si>
  <si>
    <t>도우리</t>
  </si>
  <si>
    <t>A1012</t>
  </si>
  <si>
    <t>최은실</t>
  </si>
  <si>
    <t>A1024</t>
  </si>
  <si>
    <t>안규종</t>
  </si>
  <si>
    <t>A1025</t>
  </si>
  <si>
    <t>김종성</t>
  </si>
  <si>
    <t>A1026</t>
  </si>
  <si>
    <t>이부영</t>
  </si>
  <si>
    <t>A1027</t>
  </si>
  <si>
    <t>오세웅</t>
  </si>
  <si>
    <t>A1028</t>
  </si>
  <si>
    <t>김성진</t>
  </si>
  <si>
    <t>A1029</t>
  </si>
  <si>
    <t>이재윤</t>
  </si>
  <si>
    <t>A1030</t>
  </si>
  <si>
    <t>강원일</t>
  </si>
  <si>
    <t>A1031</t>
  </si>
  <si>
    <t>황해룡</t>
  </si>
  <si>
    <t>A1033</t>
  </si>
  <si>
    <t>이해규</t>
  </si>
  <si>
    <t>A1034</t>
  </si>
  <si>
    <t>전병호</t>
  </si>
  <si>
    <t>A1035</t>
  </si>
  <si>
    <t>이만열</t>
  </si>
  <si>
    <t>A1036</t>
  </si>
  <si>
    <t>전규달</t>
  </si>
  <si>
    <t>A1037</t>
  </si>
  <si>
    <t>오승실</t>
  </si>
  <si>
    <t>A1038</t>
  </si>
  <si>
    <t>이훈섭</t>
  </si>
  <si>
    <t>A1039</t>
  </si>
  <si>
    <t>서승남</t>
  </si>
  <si>
    <t>유재민</t>
  </si>
  <si>
    <t>김명수</t>
  </si>
  <si>
    <t>A1001</t>
    <phoneticPr fontId="1" type="noConversion"/>
  </si>
  <si>
    <t>A1015</t>
  </si>
  <si>
    <t>A1017</t>
  </si>
  <si>
    <t>A1018</t>
  </si>
  <si>
    <t>A1023</t>
  </si>
  <si>
    <t>A1042</t>
  </si>
  <si>
    <t>A1043</t>
  </si>
  <si>
    <t>A1044</t>
  </si>
  <si>
    <t>번호</t>
    <phoneticPr fontId="1" type="noConversion"/>
  </si>
  <si>
    <t>예약자</t>
    <phoneticPr fontId="2" type="noConversion"/>
  </si>
  <si>
    <t>총 기간</t>
    <phoneticPr fontId="1" type="noConversion"/>
  </si>
  <si>
    <t>숙박기간</t>
    <phoneticPr fontId="2" type="noConversion"/>
  </si>
  <si>
    <t>[표2]</t>
    <phoneticPr fontId="2" type="noConversion"/>
  </si>
  <si>
    <t>성별</t>
    <phoneticPr fontId="2" type="noConversion"/>
  </si>
  <si>
    <t>Other</t>
  </si>
  <si>
    <t>Man</t>
  </si>
  <si>
    <t>Woman</t>
  </si>
  <si>
    <t>윤수진</t>
    <phoneticPr fontId="1" type="noConversion"/>
  </si>
  <si>
    <t>이연순</t>
    <phoneticPr fontId="1" type="noConversion"/>
  </si>
  <si>
    <t>김하은</t>
    <phoneticPr fontId="1" type="noConversion"/>
  </si>
  <si>
    <t>이성주</t>
    <phoneticPr fontId="1" type="noConversion"/>
  </si>
  <si>
    <t>이름</t>
    <phoneticPr fontId="1" type="noConversion"/>
  </si>
  <si>
    <t>날짜</t>
    <phoneticPr fontId="2" type="noConversion"/>
  </si>
  <si>
    <t>수강료</t>
    <phoneticPr fontId="2" type="noConversion"/>
  </si>
  <si>
    <t>할인액</t>
    <phoneticPr fontId="1" type="noConversion"/>
  </si>
  <si>
    <t>[표2-1] 할인율</t>
    <phoneticPr fontId="2" type="noConversion"/>
  </si>
  <si>
    <t>Woman</t>
    <phoneticPr fontId="1" type="noConversion"/>
  </si>
  <si>
    <t>Man</t>
    <phoneticPr fontId="1" type="noConversion"/>
  </si>
  <si>
    <t>Other</t>
    <phoneticPr fontId="2" type="noConversion"/>
  </si>
  <si>
    <t>평점</t>
    <phoneticPr fontId="1" type="noConversion"/>
  </si>
  <si>
    <t>전체</t>
    <phoneticPr fontId="1" type="noConversion"/>
  </si>
  <si>
    <t>청소년관람불가</t>
    <phoneticPr fontId="1" type="noConversion"/>
  </si>
  <si>
    <t>15세</t>
    <phoneticPr fontId="1" type="noConversion"/>
  </si>
  <si>
    <t>주연</t>
    <phoneticPr fontId="1" type="noConversion"/>
  </si>
  <si>
    <t>설경수, 송병호</t>
    <phoneticPr fontId="1" type="noConversion"/>
  </si>
  <si>
    <t>이경구, 강수동</t>
    <phoneticPr fontId="1" type="noConversion"/>
  </si>
  <si>
    <t>박정진</t>
    <phoneticPr fontId="1" type="noConversion"/>
  </si>
  <si>
    <t>최수정, 백준걸</t>
    <phoneticPr fontId="1" type="noConversion"/>
  </si>
  <si>
    <t>이도현</t>
    <phoneticPr fontId="1" type="noConversion"/>
  </si>
  <si>
    <t>윤수민, 이연정</t>
    <phoneticPr fontId="1" type="noConversion"/>
  </si>
  <si>
    <t>안은미</t>
    <phoneticPr fontId="1" type="noConversion"/>
  </si>
  <si>
    <t>구분기호</t>
    <phoneticPr fontId="1" type="noConversion"/>
  </si>
  <si>
    <t>A-101</t>
    <phoneticPr fontId="1" type="noConversion"/>
  </si>
  <si>
    <t>A-102</t>
  </si>
  <si>
    <t>A-103</t>
  </si>
  <si>
    <t>A-104</t>
  </si>
  <si>
    <t>A-105</t>
  </si>
  <si>
    <t>A-106</t>
  </si>
  <si>
    <t>A-107</t>
  </si>
  <si>
    <t>A-108</t>
  </si>
  <si>
    <t>A-109</t>
  </si>
  <si>
    <t>A-110</t>
  </si>
  <si>
    <t>정태수, 민영기</t>
    <phoneticPr fontId="1" type="noConversion"/>
  </si>
  <si>
    <t>등급</t>
    <phoneticPr fontId="1" type="noConversion"/>
  </si>
  <si>
    <t>대표 연기자</t>
    <phoneticPr fontId="1" type="noConversion"/>
  </si>
  <si>
    <t>[표3]</t>
    <phoneticPr fontId="1" type="noConversion"/>
  </si>
  <si>
    <t>[표1]</t>
    <phoneticPr fontId="1" type="noConversion"/>
  </si>
  <si>
    <t>청소년관람불가</t>
    <phoneticPr fontId="1" type="noConversion"/>
  </si>
  <si>
    <t>15세</t>
    <phoneticPr fontId="1" type="noConversion"/>
  </si>
  <si>
    <t>전체</t>
    <phoneticPr fontId="1" type="noConversion"/>
  </si>
  <si>
    <t>12세</t>
    <phoneticPr fontId="1" type="noConversion"/>
  </si>
  <si>
    <t>[표3-1]</t>
    <phoneticPr fontId="1" type="noConversion"/>
  </si>
  <si>
    <t>도서명</t>
  </si>
  <si>
    <t>남극탐구</t>
  </si>
  <si>
    <t>내일</t>
  </si>
  <si>
    <t>달나라여행</t>
  </si>
  <si>
    <t>댄스종류</t>
  </si>
  <si>
    <t>블란서어</t>
  </si>
  <si>
    <t>생태계</t>
  </si>
  <si>
    <t>신세계</t>
  </si>
  <si>
    <t>아시아여행</t>
  </si>
  <si>
    <t>영어</t>
  </si>
  <si>
    <t>만화로보는 세계사</t>
    <phoneticPr fontId="1" type="noConversion"/>
  </si>
  <si>
    <t>번호</t>
    <phoneticPr fontId="1" type="noConversion"/>
  </si>
  <si>
    <t>비고</t>
    <phoneticPr fontId="1" type="noConversion"/>
  </si>
  <si>
    <t>기준일</t>
    <phoneticPr fontId="1" type="noConversion"/>
  </si>
  <si>
    <t>[표4]</t>
    <phoneticPr fontId="1" type="noConversion"/>
  </si>
  <si>
    <t>작성일</t>
    <phoneticPr fontId="1" type="noConversion"/>
  </si>
  <si>
    <t>조건</t>
    <phoneticPr fontId="1" type="noConversion"/>
  </si>
  <si>
    <t xml:space="preserve">4 </t>
    <phoneticPr fontId="1" type="noConversion"/>
  </si>
  <si>
    <t xml:space="preserve"> 3</t>
    <phoneticPr fontId="1" type="noConversion"/>
  </si>
  <si>
    <t xml:space="preserve">    2</t>
    <phoneticPr fontId="1" type="noConversion"/>
  </si>
  <si>
    <t xml:space="preserve">    3</t>
    <phoneticPr fontId="1" type="noConversion"/>
  </si>
  <si>
    <t>다른 풀이</t>
    <phoneticPr fontId="1" type="noConversion"/>
  </si>
  <si>
    <t>이효영와 트위스터</t>
    <phoneticPr fontId="1" type="noConversion"/>
  </si>
  <si>
    <t>한미우</t>
    <phoneticPr fontId="1" type="noConversion"/>
  </si>
  <si>
    <t>IFERROR로 사용할 경우</t>
    <phoneticPr fontId="1" type="noConversion"/>
  </si>
  <si>
    <t>[표5]</t>
    <phoneticPr fontId="1" type="noConversion"/>
  </si>
  <si>
    <t>번호</t>
    <phoneticPr fontId="1" type="noConversion"/>
  </si>
  <si>
    <t>구분</t>
    <phoneticPr fontId="1" type="noConversion"/>
  </si>
  <si>
    <t>가격</t>
    <phoneticPr fontId="1" type="noConversion"/>
  </si>
  <si>
    <t>중계 수수료</t>
    <phoneticPr fontId="1" type="noConversion"/>
  </si>
  <si>
    <t>매매</t>
    <phoneticPr fontId="1" type="noConversion"/>
  </si>
  <si>
    <t>전세</t>
    <phoneticPr fontId="1" type="noConversion"/>
  </si>
  <si>
    <t>[표5-1]</t>
    <phoneticPr fontId="1" type="noConversion"/>
  </si>
  <si>
    <t>구분</t>
    <phoneticPr fontId="1" type="noConversion"/>
  </si>
  <si>
    <t>가격 시작값</t>
    <phoneticPr fontId="1" type="noConversion"/>
  </si>
  <si>
    <t>가격 끝값</t>
    <phoneticPr fontId="1" type="noConversion"/>
  </si>
  <si>
    <t>매매</t>
    <phoneticPr fontId="1" type="noConversion"/>
  </si>
  <si>
    <t>수수료율</t>
    <phoneticPr fontId="1" type="noConversion"/>
  </si>
  <si>
    <t>최대중계수수료율</t>
    <phoneticPr fontId="1" type="noConversion"/>
  </si>
  <si>
    <t>전세</t>
    <phoneticPr fontId="1" type="noConversion"/>
  </si>
  <si>
    <t>수수료율</t>
    <phoneticPr fontId="1" type="noConversion"/>
  </si>
  <si>
    <t>[표6]</t>
    <phoneticPr fontId="1" type="noConversion"/>
  </si>
  <si>
    <t>심판1</t>
    <phoneticPr fontId="1" type="noConversion"/>
  </si>
  <si>
    <t>심판2</t>
    <phoneticPr fontId="1" type="noConversion"/>
  </si>
  <si>
    <t>심판3</t>
    <phoneticPr fontId="1" type="noConversion"/>
  </si>
  <si>
    <t>심판4</t>
    <phoneticPr fontId="1" type="noConversion"/>
  </si>
  <si>
    <t>심판5</t>
    <phoneticPr fontId="1" type="noConversion"/>
  </si>
  <si>
    <t>선별자 점수</t>
    <phoneticPr fontId="1" type="noConversion"/>
  </si>
  <si>
    <t>판별</t>
    <phoneticPr fontId="1" type="noConversion"/>
  </si>
  <si>
    <t>[표7]</t>
    <phoneticPr fontId="1" type="noConversion"/>
  </si>
  <si>
    <t>[표7-1]</t>
    <phoneticPr fontId="1" type="noConversion"/>
  </si>
  <si>
    <t>국가명</t>
    <phoneticPr fontId="1" type="noConversion"/>
  </si>
  <si>
    <t>종목</t>
    <phoneticPr fontId="1" type="noConversion"/>
  </si>
  <si>
    <t>점수</t>
    <phoneticPr fontId="1" type="noConversion"/>
  </si>
  <si>
    <t>국가명</t>
    <phoneticPr fontId="1" type="noConversion"/>
  </si>
  <si>
    <t>Free</t>
    <phoneticPr fontId="1" type="noConversion"/>
  </si>
  <si>
    <t>Short</t>
    <phoneticPr fontId="1" type="noConversion"/>
  </si>
  <si>
    <t>한국</t>
    <phoneticPr fontId="1" type="noConversion"/>
  </si>
  <si>
    <t>Free skating</t>
    <phoneticPr fontId="1" type="noConversion"/>
  </si>
  <si>
    <t>일본</t>
    <phoneticPr fontId="1" type="noConversion"/>
  </si>
  <si>
    <t>Free dance</t>
    <phoneticPr fontId="1" type="noConversion"/>
  </si>
  <si>
    <t>중국</t>
    <phoneticPr fontId="1" type="noConversion"/>
  </si>
  <si>
    <t>Short dance</t>
    <phoneticPr fontId="1" type="noConversion"/>
  </si>
  <si>
    <t>short skating</t>
  </si>
  <si>
    <t>미국</t>
    <phoneticPr fontId="1" type="noConversion"/>
  </si>
  <si>
    <t>[표8]</t>
    <phoneticPr fontId="1" type="noConversion"/>
  </si>
  <si>
    <t>번호</t>
    <phoneticPr fontId="2" type="noConversion"/>
  </si>
  <si>
    <t>성명</t>
    <phoneticPr fontId="2" type="noConversion"/>
  </si>
  <si>
    <t>전기량(KW)</t>
    <phoneticPr fontId="2" type="noConversion"/>
  </si>
  <si>
    <t>사용 전기량(KW)</t>
    <phoneticPr fontId="1" type="noConversion"/>
  </si>
  <si>
    <t>차이값</t>
    <phoneticPr fontId="1" type="noConversion"/>
  </si>
  <si>
    <t>강석은</t>
  </si>
  <si>
    <t>강형준</t>
  </si>
  <si>
    <t>고윤장</t>
  </si>
  <si>
    <t>곽근민</t>
  </si>
  <si>
    <t>미검침</t>
    <phoneticPr fontId="1" type="noConversion"/>
  </si>
  <si>
    <t>구진본</t>
  </si>
  <si>
    <t>김주광</t>
  </si>
  <si>
    <t>김모근</t>
  </si>
  <si>
    <t>김범기</t>
  </si>
  <si>
    <t>김운기</t>
  </si>
  <si>
    <t>&lt;이 풀이도 가능&gt;</t>
    <phoneticPr fontId="1" type="noConversion"/>
  </si>
  <si>
    <t>고객번호</t>
  </si>
  <si>
    <t>성별</t>
  </si>
  <si>
    <t>지역</t>
  </si>
  <si>
    <t>출하시간</t>
    <phoneticPr fontId="1" type="noConversion"/>
  </si>
  <si>
    <t>2월 구매실적</t>
  </si>
  <si>
    <t>3월 구매실적</t>
  </si>
  <si>
    <t>남</t>
  </si>
  <si>
    <t>강북</t>
  </si>
  <si>
    <t>PR-002</t>
  </si>
  <si>
    <t>한성현</t>
  </si>
  <si>
    <t>도봉</t>
  </si>
  <si>
    <t>PR-003</t>
  </si>
  <si>
    <t>김영득</t>
  </si>
  <si>
    <t>PR-004</t>
  </si>
  <si>
    <t>정은희</t>
  </si>
  <si>
    <t>여</t>
  </si>
  <si>
    <t>PR-005</t>
  </si>
  <si>
    <t>김양현</t>
  </si>
  <si>
    <t>중랑</t>
  </si>
  <si>
    <t>PR-006</t>
  </si>
  <si>
    <t>PR-007</t>
  </si>
  <si>
    <t>심지영</t>
  </si>
  <si>
    <t>노원</t>
  </si>
  <si>
    <t>PR-008</t>
  </si>
  <si>
    <t>PR-009</t>
  </si>
  <si>
    <t>PR-010</t>
  </si>
  <si>
    <t>PR-011</t>
  </si>
  <si>
    <t>강흥석</t>
  </si>
  <si>
    <t>PR-012</t>
  </si>
  <si>
    <t>PR-013</t>
  </si>
  <si>
    <t>이지영</t>
  </si>
  <si>
    <t>PR-014</t>
  </si>
  <si>
    <t>김미현</t>
  </si>
  <si>
    <t>PR-015</t>
  </si>
  <si>
    <t>PR-016</t>
  </si>
  <si>
    <t>PR-017</t>
  </si>
  <si>
    <t>안성윤</t>
  </si>
  <si>
    <t>PR-018</t>
  </si>
  <si>
    <t>하인화</t>
  </si>
  <si>
    <t>(모두)</t>
  </si>
  <si>
    <t>구분</t>
  </si>
  <si>
    <t>출하시간</t>
  </si>
  <si>
    <t>값</t>
  </si>
  <si>
    <t>총합계</t>
  </si>
  <si>
    <t>오전</t>
  </si>
  <si>
    <t>합계 : 2월 구매실적</t>
  </si>
  <si>
    <t>합계 : 3월 구매실적</t>
  </si>
  <si>
    <t>오후</t>
  </si>
  <si>
    <t>전체 합계 : 2월 구매실적</t>
  </si>
  <si>
    <t>전체 합계 : 3월 구매실적</t>
  </si>
  <si>
    <t>PR-001</t>
  </si>
  <si>
    <t>워드프로세서 시험 성적</t>
    <phoneticPr fontId="2" type="noConversion"/>
  </si>
  <si>
    <t>서울</t>
    <phoneticPr fontId="2" type="noConversion"/>
  </si>
  <si>
    <t>번호</t>
    <phoneticPr fontId="1" type="noConversion"/>
  </si>
  <si>
    <t>이름</t>
    <phoneticPr fontId="2" type="noConversion"/>
  </si>
  <si>
    <t>직업</t>
    <phoneticPr fontId="2" type="noConversion"/>
  </si>
  <si>
    <t>필기시험</t>
    <phoneticPr fontId="2" type="noConversion"/>
  </si>
  <si>
    <t>실기시험</t>
    <phoneticPr fontId="2" type="noConversion"/>
  </si>
  <si>
    <t>전국</t>
    <phoneticPr fontId="2" type="noConversion"/>
  </si>
  <si>
    <t>김승진</t>
    <phoneticPr fontId="2" type="noConversion"/>
  </si>
  <si>
    <t>공무원</t>
    <phoneticPr fontId="2" type="noConversion"/>
  </si>
  <si>
    <t>이소라</t>
    <phoneticPr fontId="2" type="noConversion"/>
  </si>
  <si>
    <t>회사원</t>
    <phoneticPr fontId="2" type="noConversion"/>
  </si>
  <si>
    <t>최승엽</t>
    <phoneticPr fontId="2" type="noConversion"/>
  </si>
  <si>
    <t>학생</t>
    <phoneticPr fontId="2" type="noConversion"/>
  </si>
  <si>
    <t>이유리</t>
    <phoneticPr fontId="2" type="noConversion"/>
  </si>
  <si>
    <t>주부</t>
    <phoneticPr fontId="2" type="noConversion"/>
  </si>
  <si>
    <t>김동철</t>
    <phoneticPr fontId="2" type="noConversion"/>
  </si>
  <si>
    <t>교사</t>
    <phoneticPr fontId="2" type="noConversion"/>
  </si>
  <si>
    <t>하진호</t>
    <phoneticPr fontId="2" type="noConversion"/>
  </si>
  <si>
    <t>대전</t>
    <phoneticPr fontId="2" type="noConversion"/>
  </si>
  <si>
    <t>김명식</t>
    <phoneticPr fontId="2" type="noConversion"/>
  </si>
  <si>
    <t>박신아</t>
    <phoneticPr fontId="2" type="noConversion"/>
  </si>
  <si>
    <t>군인</t>
    <phoneticPr fontId="2" type="noConversion"/>
  </si>
  <si>
    <t>김철호</t>
    <phoneticPr fontId="2" type="noConversion"/>
  </si>
  <si>
    <t>서진혁</t>
    <phoneticPr fontId="2" type="noConversion"/>
  </si>
  <si>
    <t>김혜진</t>
    <phoneticPr fontId="2" type="noConversion"/>
  </si>
  <si>
    <t>이명철</t>
    <phoneticPr fontId="2" type="noConversion"/>
  </si>
  <si>
    <t>김*</t>
  </si>
  <si>
    <t>이*</t>
  </si>
  <si>
    <t>박*</t>
  </si>
  <si>
    <t>구분번호</t>
    <phoneticPr fontId="2" type="noConversion"/>
  </si>
  <si>
    <t>사원</t>
    <phoneticPr fontId="2" type="noConversion"/>
  </si>
  <si>
    <t>상반기</t>
    <phoneticPr fontId="2" type="noConversion"/>
  </si>
  <si>
    <t>하반기</t>
    <phoneticPr fontId="2" type="noConversion"/>
  </si>
  <si>
    <t>합계</t>
    <phoneticPr fontId="2" type="noConversion"/>
  </si>
  <si>
    <t>홍길동</t>
    <phoneticPr fontId="2" type="noConversion"/>
  </si>
  <si>
    <t>금단이</t>
    <phoneticPr fontId="2" type="noConversion"/>
  </si>
  <si>
    <t>차돌이</t>
    <phoneticPr fontId="2" type="noConversion"/>
  </si>
  <si>
    <t>이몽룡</t>
    <phoneticPr fontId="2" type="noConversion"/>
  </si>
  <si>
    <t>강감찬</t>
    <phoneticPr fontId="2" type="noConversion"/>
  </si>
  <si>
    <t>개인별 영업실적표</t>
    <phoneticPr fontId="2" type="noConversion"/>
  </si>
  <si>
    <t>[표1] 경기 일정표</t>
    <phoneticPr fontId="1" type="noConversion"/>
  </si>
  <si>
    <t>이름</t>
    <phoneticPr fontId="1" type="noConversion"/>
  </si>
  <si>
    <t>종목</t>
    <phoneticPr fontId="1" type="noConversion"/>
  </si>
  <si>
    <t>경기일자</t>
    <phoneticPr fontId="1" type="noConversion"/>
  </si>
  <si>
    <t>오전/오후 구분</t>
    <phoneticPr fontId="1" type="noConversion"/>
  </si>
  <si>
    <t>1차 점수</t>
    <phoneticPr fontId="1" type="noConversion"/>
  </si>
  <si>
    <t>2차 점수</t>
    <phoneticPr fontId="1" type="noConversion"/>
  </si>
  <si>
    <t>평균</t>
    <phoneticPr fontId="1" type="noConversion"/>
  </si>
  <si>
    <t>PR-001</t>
    <phoneticPr fontId="1" type="noConversion"/>
  </si>
  <si>
    <t>감사합니다</t>
  </si>
  <si>
    <t>2</t>
    <phoneticPr fontId="1" type="noConversion"/>
  </si>
  <si>
    <t>다른 풀이들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</si>
</sst>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dd\-mmm\-yy"/>
    <numFmt numFmtId="177" formatCode="0&quot;순위&quot;"/>
    <numFmt numFmtId="178" formatCode="#,##0&quot;이&quot;&quot;상&quot;"/>
    <numFmt numFmtId="179" formatCode="#,###&quot;미&quot;&quot;만&quot;"/>
    <numFmt numFmtId="180" formatCode="0.0%"/>
    <numFmt numFmtId="181" formatCode="#;\-#;0;[Red]@"/>
    <numFmt numFmtId="182" formatCode="[$-412]AM/PM\ h:mm;@"/>
    <numFmt numFmtId="183" formatCode="[&gt;=150]#&quot;(합격)&quot;;[&lt;150]#&quot;(불합격)&quot;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0"/>
      <name val="돋움"/>
      <family val="3"/>
      <charset val="129"/>
    </font>
    <font>
      <sz val="10"/>
      <color rgb="FF000000"/>
      <name val="돋움체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9"/>
      <color rgb="FF222222"/>
      <name val="맑은 고딕"/>
      <family val="3"/>
      <charset val="129"/>
      <scheme val="minor"/>
    </font>
    <font>
      <sz val="11"/>
      <color rgb="FF222222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2" fontId="4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/>
    <xf numFmtId="41" fontId="4" fillId="0" borderId="0" applyFont="0" applyFill="0" applyBorder="0" applyAlignment="0" applyProtection="0">
      <alignment vertical="center"/>
    </xf>
    <xf numFmtId="0" fontId="7" fillId="0" borderId="0"/>
    <xf numFmtId="0" fontId="12" fillId="0" borderId="0"/>
  </cellStyleXfs>
  <cellXfs count="86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0" xfId="0" applyFont="1">
      <alignment vertical="center"/>
    </xf>
    <xf numFmtId="0" fontId="0" fillId="0" borderId="0" xfId="0" applyAlignment="1"/>
    <xf numFmtId="0" fontId="3" fillId="0" borderId="0" xfId="0" applyFont="1">
      <alignment vertical="center"/>
    </xf>
    <xf numFmtId="0" fontId="8" fillId="3" borderId="1" xfId="4" applyFont="1" applyFill="1" applyBorder="1" applyAlignment="1">
      <alignment horizontal="center"/>
    </xf>
    <xf numFmtId="0" fontId="8" fillId="0" borderId="1" xfId="4" applyFont="1" applyFill="1" applyBorder="1" applyAlignment="1">
      <alignment horizontal="center" wrapText="1"/>
    </xf>
    <xf numFmtId="0" fontId="3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1" fontId="8" fillId="0" borderId="1" xfId="4" applyNumberFormat="1" applyFont="1" applyFill="1" applyBorder="1" applyAlignment="1">
      <alignment horizontal="center" wrapText="1"/>
    </xf>
    <xf numFmtId="0" fontId="8" fillId="3" borderId="2" xfId="4" applyFont="1" applyFill="1" applyBorder="1" applyAlignment="1">
      <alignment horizontal="center"/>
    </xf>
    <xf numFmtId="14" fontId="3" fillId="0" borderId="0" xfId="0" applyNumberFormat="1" applyFont="1">
      <alignment vertical="center"/>
    </xf>
    <xf numFmtId="14" fontId="8" fillId="0" borderId="1" xfId="4" applyNumberFormat="1" applyFont="1" applyFill="1" applyBorder="1" applyAlignment="1">
      <alignment horizontal="center" wrapText="1"/>
    </xf>
    <xf numFmtId="0" fontId="10" fillId="0" borderId="0" xfId="0" applyFont="1" applyAlignment="1">
      <alignment horizontal="justify" vertical="center"/>
    </xf>
    <xf numFmtId="0" fontId="11" fillId="4" borderId="1" xfId="6" applyFont="1" applyFill="1" applyBorder="1" applyAlignment="1">
      <alignment horizontal="center"/>
    </xf>
    <xf numFmtId="0" fontId="11" fillId="0" borderId="1" xfId="6" applyFont="1" applyFill="1" applyBorder="1" applyAlignment="1">
      <alignment horizontal="center" wrapText="1"/>
    </xf>
    <xf numFmtId="176" fontId="11" fillId="0" borderId="1" xfId="6" applyNumberFormat="1" applyFont="1" applyFill="1" applyBorder="1" applyAlignment="1">
      <alignment horizontal="center" wrapText="1"/>
    </xf>
    <xf numFmtId="0" fontId="0" fillId="0" borderId="0" xfId="0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9" fontId="3" fillId="0" borderId="1" xfId="0" applyNumberFormat="1" applyFont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13" fillId="0" borderId="3" xfId="7" applyFont="1" applyFill="1" applyBorder="1" applyAlignment="1">
      <alignment wrapText="1"/>
    </xf>
    <xf numFmtId="0" fontId="13" fillId="0" borderId="4" xfId="7" applyFont="1" applyFill="1" applyBorder="1" applyAlignment="1">
      <alignment wrapText="1"/>
    </xf>
    <xf numFmtId="0" fontId="13" fillId="0" borderId="1" xfId="7" applyFont="1" applyFill="1" applyBorder="1" applyAlignment="1">
      <alignment horizontal="center" wrapText="1"/>
    </xf>
    <xf numFmtId="14" fontId="5" fillId="0" borderId="1" xfId="0" applyNumberFormat="1" applyFon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0" fontId="11" fillId="0" borderId="1" xfId="7" applyFont="1" applyFill="1" applyBorder="1" applyAlignment="1">
      <alignment horizontal="center"/>
    </xf>
    <xf numFmtId="14" fontId="0" fillId="0" borderId="1" xfId="0" applyNumberFormat="1" applyBorder="1">
      <alignment vertical="center"/>
    </xf>
    <xf numFmtId="0" fontId="13" fillId="0" borderId="5" xfId="7" applyFont="1" applyFill="1" applyBorder="1" applyAlignment="1">
      <alignment wrapText="1"/>
    </xf>
    <xf numFmtId="0" fontId="11" fillId="0" borderId="1" xfId="7" applyFont="1" applyFill="1" applyBorder="1" applyAlignment="1">
      <alignment horizontal="center" wrapText="1"/>
    </xf>
    <xf numFmtId="0" fontId="11" fillId="4" borderId="1" xfId="6" applyFont="1" applyFill="1" applyBorder="1" applyAlignment="1" applyProtection="1">
      <alignment horizontal="center"/>
    </xf>
    <xf numFmtId="0" fontId="11" fillId="0" borderId="1" xfId="6" applyFont="1" applyFill="1" applyBorder="1" applyAlignment="1" applyProtection="1">
      <alignment horizontal="center" wrapText="1"/>
    </xf>
    <xf numFmtId="0" fontId="3" fillId="0" borderId="0" xfId="0" applyFont="1" applyProtection="1">
      <alignment vertical="center"/>
    </xf>
    <xf numFmtId="49" fontId="5" fillId="0" borderId="1" xfId="0" quotePrefix="1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41" fontId="0" fillId="0" borderId="1" xfId="5" applyFont="1" applyBorder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178" fontId="0" fillId="5" borderId="1" xfId="5" applyNumberFormat="1" applyFont="1" applyFill="1" applyBorder="1">
      <alignment vertical="center"/>
    </xf>
    <xf numFmtId="179" fontId="0" fillId="5" borderId="1" xfId="5" applyNumberFormat="1" applyFont="1" applyFill="1" applyBorder="1">
      <alignment vertical="center"/>
    </xf>
    <xf numFmtId="41" fontId="0" fillId="5" borderId="1" xfId="5" applyFont="1" applyFill="1" applyBorder="1">
      <alignment vertical="center"/>
    </xf>
    <xf numFmtId="180" fontId="0" fillId="0" borderId="1" xfId="0" applyNumberFormat="1" applyBorder="1">
      <alignment vertical="center"/>
    </xf>
    <xf numFmtId="0" fontId="14" fillId="0" borderId="1" xfId="0" applyFont="1" applyBorder="1">
      <alignment vertical="center"/>
    </xf>
    <xf numFmtId="0" fontId="0" fillId="0" borderId="1" xfId="0" applyFont="1" applyBorder="1">
      <alignment vertical="center"/>
    </xf>
    <xf numFmtId="181" fontId="0" fillId="0" borderId="1" xfId="0" applyNumberFormat="1" applyBorder="1">
      <alignment vertical="center"/>
    </xf>
    <xf numFmtId="0" fontId="15" fillId="0" borderId="1" xfId="0" applyFont="1" applyBorder="1">
      <alignment vertical="center"/>
    </xf>
    <xf numFmtId="41" fontId="5" fillId="0" borderId="1" xfId="5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/>
    <xf numFmtId="0" fontId="16" fillId="0" borderId="0" xfId="0" applyFont="1" applyAlignment="1"/>
    <xf numFmtId="182" fontId="0" fillId="0" borderId="0" xfId="0" applyNumberFormat="1">
      <alignment vertical="center"/>
    </xf>
    <xf numFmtId="41" fontId="0" fillId="0" borderId="0" xfId="0" applyNumberFormat="1">
      <alignment vertical="center"/>
    </xf>
    <xf numFmtId="44" fontId="0" fillId="0" borderId="0" xfId="0" applyNumberFormat="1">
      <alignment vertical="center"/>
    </xf>
    <xf numFmtId="19" fontId="0" fillId="0" borderId="0" xfId="0" applyNumberFormat="1">
      <alignment vertical="center"/>
    </xf>
    <xf numFmtId="42" fontId="17" fillId="0" borderId="0" xfId="1" applyFont="1" applyAlignment="1">
      <alignment horizontal="centerContinuous"/>
    </xf>
    <xf numFmtId="0" fontId="0" fillId="0" borderId="0" xfId="0" applyAlignment="1">
      <alignment horizontal="centerContinuous"/>
    </xf>
    <xf numFmtId="0" fontId="1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7" xfId="0" applyBorder="1" applyAlignment="1">
      <alignment horizontal="right"/>
    </xf>
    <xf numFmtId="0" fontId="0" fillId="0" borderId="0" xfId="0" applyFill="1" applyBorder="1" applyAlignment="1"/>
    <xf numFmtId="0" fontId="5" fillId="0" borderId="0" xfId="0" applyFont="1">
      <alignment vertical="center"/>
    </xf>
    <xf numFmtId="0" fontId="19" fillId="0" borderId="0" xfId="0" applyFont="1" applyAlignment="1">
      <alignment horizontal="center"/>
    </xf>
    <xf numFmtId="41" fontId="5" fillId="0" borderId="1" xfId="5" applyFont="1" applyFill="1" applyBorder="1" applyAlignment="1">
      <alignment horizontal="center" vertical="center"/>
    </xf>
    <xf numFmtId="183" fontId="11" fillId="0" borderId="1" xfId="6" applyNumberFormat="1" applyFont="1" applyFill="1" applyBorder="1" applyAlignment="1">
      <alignment horizontal="center" wrapText="1"/>
    </xf>
    <xf numFmtId="0" fontId="0" fillId="0" borderId="0" xfId="0" applyNumberFormat="1">
      <alignment vertical="center"/>
    </xf>
    <xf numFmtId="0" fontId="19" fillId="0" borderId="0" xfId="0" applyFont="1" applyAlignment="1">
      <alignment horizontal="center"/>
    </xf>
  </cellXfs>
  <cellStyles count="8">
    <cellStyle name="백분율 2" xfId="3"/>
    <cellStyle name="쉼표 [0]" xfId="5" builtinId="6"/>
    <cellStyle name="통화 [0]" xfId="1" builtinId="7"/>
    <cellStyle name="표준" xfId="0" builtinId="0"/>
    <cellStyle name="표준 2" xfId="2"/>
    <cellStyle name="표준_계산작업" xfId="7"/>
    <cellStyle name="표준_기본작업-3" xfId="6"/>
    <cellStyle name="표준_해외연수-2" xfId="4"/>
  </cellStyles>
  <dxfs count="20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numFmt numFmtId="34" formatCode="_-&quot;₩&quot;* #,##0.00_-;\-&quot;₩&quot;* #,##0.00_-;_-&quot;₩&quot;* &quot;-&quot;??_-;_-@_-"/>
    </dxf>
    <dxf>
      <numFmt numFmtId="34" formatCode="_-&quot;₩&quot;* #,##0.00_-;\-&quot;₩&quot;* #,##0.00_-;_-&quot;₩&quot;* &quot;-&quot;??_-;_-@_-"/>
    </dxf>
    <dxf>
      <numFmt numFmtId="34" formatCode="_-&quot;₩&quot;* #,##0.00_-;\-&quot;₩&quot;* #,##0.00_-;_-&quot;₩&quot;* &quot;-&quot;??_-;_-@_-"/>
    </dxf>
    <dxf>
      <font>
        <b/>
        <i val="0"/>
        <color rgb="FFFF0000"/>
      </font>
    </dxf>
    <dxf>
      <numFmt numFmtId="24" formatCode="h:mm:ss\ AM/PM"/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'기타작업-1'!$B$2:$F$2</c:f>
          <c:strCache>
            <c:ptCount val="5"/>
            <c:pt idx="0">
              <c:v>개인별 영업실적표</c:v>
            </c:pt>
          </c:strCache>
        </c:strRef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'기타작업-1'!$D$4</c:f>
              <c:strCache>
                <c:ptCount val="1"/>
                <c:pt idx="0">
                  <c:v>상반기</c:v>
                </c:pt>
              </c:strCache>
            </c:strRef>
          </c:tx>
          <c:invertIfNegative val="0"/>
          <c:cat>
            <c:numRef>
              <c:f>'기타작업-1'!$B$5:$B$9</c:f>
              <c:numCache>
                <c:formatCode>General</c:formatCode>
                <c:ptCount val="5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</c:numCache>
            </c:numRef>
          </c:cat>
          <c:val>
            <c:numRef>
              <c:f>'기타작업-1'!$D$5:$D$9</c:f>
              <c:numCache>
                <c:formatCode>General</c:formatCode>
                <c:ptCount val="5"/>
                <c:pt idx="0">
                  <c:v>450000</c:v>
                </c:pt>
                <c:pt idx="1">
                  <c:v>760000</c:v>
                </c:pt>
                <c:pt idx="2">
                  <c:v>430000</c:v>
                </c:pt>
                <c:pt idx="3">
                  <c:v>230000</c:v>
                </c:pt>
                <c:pt idx="4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E-4D6F-B933-82363539365B}"/>
            </c:ext>
          </c:extLst>
        </c:ser>
        <c:ser>
          <c:idx val="1"/>
          <c:order val="1"/>
          <c:tx>
            <c:strRef>
              <c:f>'기타작업-1'!$E$4</c:f>
              <c:strCache>
                <c:ptCount val="1"/>
                <c:pt idx="0">
                  <c:v>하반기</c:v>
                </c:pt>
              </c:strCache>
            </c:strRef>
          </c:tx>
          <c:invertIfNegative val="0"/>
          <c:cat>
            <c:numRef>
              <c:f>'기타작업-1'!$B$5:$B$9</c:f>
              <c:numCache>
                <c:formatCode>General</c:formatCode>
                <c:ptCount val="5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</c:numCache>
            </c:numRef>
          </c:cat>
          <c:val>
            <c:numRef>
              <c:f>'기타작업-1'!$E$5:$E$9</c:f>
              <c:numCache>
                <c:formatCode>General</c:formatCode>
                <c:ptCount val="5"/>
                <c:pt idx="0">
                  <c:v>760000</c:v>
                </c:pt>
                <c:pt idx="1">
                  <c:v>870000</c:v>
                </c:pt>
                <c:pt idx="2">
                  <c:v>430000</c:v>
                </c:pt>
                <c:pt idx="3">
                  <c:v>350000</c:v>
                </c:pt>
                <c:pt idx="4">
                  <c:v>470000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E-4D6F-B933-823635393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168704"/>
        <c:axId val="234389504"/>
      </c:barChart>
      <c:lineChart>
        <c:grouping val="standard"/>
        <c:varyColors val="0"/>
        <c:ser>
          <c:idx val="2"/>
          <c:order val="2"/>
          <c:tx>
            <c:strRef>
              <c:f>'기타작업-1'!$F$4</c:f>
              <c:strCache>
                <c:ptCount val="1"/>
                <c:pt idx="0">
                  <c:v>합계</c:v>
                </c:pt>
              </c:strCache>
            </c:strRef>
          </c:tx>
          <c:val>
            <c:numRef>
              <c:f>'기타작업-1'!$F$5:$F$9</c:f>
              <c:numCache>
                <c:formatCode>_(* #,##0_);_(* \(#,##0\);_(* "-"_);_(@_)</c:formatCode>
                <c:ptCount val="5"/>
                <c:pt idx="0">
                  <c:v>1210000</c:v>
                </c:pt>
                <c:pt idx="1">
                  <c:v>1630000</c:v>
                </c:pt>
                <c:pt idx="2">
                  <c:v>860000</c:v>
                </c:pt>
                <c:pt idx="3">
                  <c:v>580000</c:v>
                </c:pt>
                <c:pt idx="4">
                  <c:v>810000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4E-4D6F-B933-823635393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69728"/>
        <c:axId val="234390080"/>
      </c:lineChart>
      <c:catAx>
        <c:axId val="236168704"/>
        <c:scaling>
          <c:orientation val="maxMin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234389504"/>
        <c:crosses val="autoZero"/>
        <c:auto val="1"/>
        <c:lblAlgn val="ctr"/>
        <c:lblOffset val="100"/>
        <c:noMultiLvlLbl val="0"/>
      </c:catAx>
      <c:valAx>
        <c:axId val="234389504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236168704"/>
        <c:crosses val="autoZero"/>
        <c:crossBetween val="between"/>
      </c:valAx>
      <c:valAx>
        <c:axId val="234390080"/>
        <c:scaling>
          <c:orientation val="minMax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crossAx val="236169728"/>
        <c:crosses val="autoZero"/>
        <c:crossBetween val="between"/>
        <c:dispUnits>
          <c:custUnit val="10"/>
          <c:dispUnitsLbl>
            <c:layout/>
          </c:dispUnitsLbl>
        </c:dispUnits>
      </c:valAx>
      <c:catAx>
        <c:axId val="236169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3439008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57150</xdr:rowOff>
    </xdr:from>
    <xdr:to>
      <xdr:col>9</xdr:col>
      <xdr:colOff>628651</xdr:colOff>
      <xdr:row>2</xdr:row>
      <xdr:rowOff>19050</xdr:rowOff>
    </xdr:to>
    <xdr:sp macro="" textlink="">
      <xdr:nvSpPr>
        <xdr:cNvPr id="2" name="TextBox 1"/>
        <xdr:cNvSpPr txBox="1"/>
      </xdr:nvSpPr>
      <xdr:spPr>
        <a:xfrm>
          <a:off x="723901" y="57150"/>
          <a:ext cx="6305550" cy="381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400"/>
            <a:t>사원별 평가 점수 집계표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[0]!서식초기화" textlink="">
      <xdr:nvSpPr>
        <xdr:cNvPr id="2" name="배지 1"/>
        <xdr:cNvSpPr/>
      </xdr:nvSpPr>
      <xdr:spPr>
        <a:xfrm>
          <a:off x="4305300" y="838200"/>
          <a:ext cx="13716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서식초기화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4</xdr:row>
          <xdr:rowOff>0</xdr:rowOff>
        </xdr:from>
        <xdr:to>
          <xdr:col>12</xdr:col>
          <xdr:colOff>19050</xdr:colOff>
          <xdr:row>6</xdr:row>
          <xdr:rowOff>161925</xdr:rowOff>
        </xdr:to>
        <xdr:sp macro="" textlink="">
          <xdr:nvSpPr>
            <xdr:cNvPr id="3074" name="Cmd입력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50500;&#51060;&#54000;&#48260;&#54016;&#47785;\Desktop\&#52980;&#54876;1&#44553;&#49892;&#44592;%20&#50696;&#51228;\4-&#53945;&#44053;(3&#45800;&#44228;)\05-&#49884;&#54744;&#51649;&#51204;&#47784;&#51032;&#44256;&#49324;%20&#50641;&#49472;9\&#51221;&#45813;&#54028;&#51068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m" refreshedDate="44110.63958333333" createdVersion="6" refreshedVersion="6" minRefreshableVersion="3" recordCount="18">
  <cacheSource type="worksheet">
    <worksheetSource ref="B2:H20" sheet="분석작업-1" r:id="rId2"/>
  </cacheSource>
  <cacheFields count="8">
    <cacheField name="고객번호" numFmtId="0">
      <sharedItems/>
    </cacheField>
    <cacheField name="이름" numFmtId="0">
      <sharedItems/>
    </cacheField>
    <cacheField name="성별" numFmtId="0">
      <sharedItems count="2">
        <s v="남"/>
        <s v="여"/>
      </sharedItems>
    </cacheField>
    <cacheField name="지역" numFmtId="0">
      <sharedItems count="4">
        <s v="강북"/>
        <s v="도봉"/>
        <s v="중랑"/>
        <s v="노원"/>
      </sharedItems>
    </cacheField>
    <cacheField name="출하시간" numFmtId="182">
      <sharedItems containsSemiMixedTypes="0" containsNonDate="0" containsDate="1" containsString="0" minDate="1899-12-30T10:00:00" maxDate="1899-12-30T20:00:00" count="16">
        <d v="1899-12-30T10:00:00"/>
        <d v="1899-12-30T10:10:00"/>
        <d v="1899-12-30T10:20:00"/>
        <d v="1899-12-30T10:30:00"/>
        <d v="1899-12-30T10:40:00"/>
        <d v="1899-12-30T10:50:00"/>
        <d v="1899-12-30T11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11:10:00"/>
        <d v="1899-12-30T12:10:00"/>
      </sharedItems>
      <fieldGroup par="7"/>
    </cacheField>
    <cacheField name="2월 구매실적" numFmtId="0">
      <sharedItems containsSemiMixedTypes="0" containsString="0" containsNumber="1" containsInteger="1" minValue="2020" maxValue="178000"/>
    </cacheField>
    <cacheField name="3월 구매실적" numFmtId="0">
      <sharedItems containsSemiMixedTypes="0" containsString="0" containsNumber="1" containsInteger="1" minValue="2020" maxValue="152000"/>
    </cacheField>
    <cacheField name="출하시간2" numFmtId="0" databaseField="0">
      <fieldGroup base="4">
        <discretePr count="16"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s v="PR-001"/>
    <s v="김한응"/>
    <x v="0"/>
    <x v="0"/>
    <x v="0"/>
    <n v="55000"/>
    <n v="135000"/>
  </r>
  <r>
    <s v="PR-002"/>
    <s v="한성현"/>
    <x v="0"/>
    <x v="1"/>
    <x v="1"/>
    <n v="78000"/>
    <n v="38700"/>
  </r>
  <r>
    <s v="PR-003"/>
    <s v="김영득"/>
    <x v="0"/>
    <x v="1"/>
    <x v="2"/>
    <n v="52200"/>
    <n v="7700"/>
  </r>
  <r>
    <s v="PR-004"/>
    <s v="정은희"/>
    <x v="1"/>
    <x v="1"/>
    <x v="3"/>
    <n v="122500"/>
    <n v="12500"/>
  </r>
  <r>
    <s v="PR-005"/>
    <s v="김양현"/>
    <x v="0"/>
    <x v="2"/>
    <x v="4"/>
    <n v="21020"/>
    <n v="37000"/>
  </r>
  <r>
    <s v="PR-006"/>
    <s v="이미라"/>
    <x v="1"/>
    <x v="2"/>
    <x v="5"/>
    <n v="2020"/>
    <n v="135000"/>
  </r>
  <r>
    <s v="PR-007"/>
    <s v="심지영"/>
    <x v="0"/>
    <x v="3"/>
    <x v="6"/>
    <n v="14560"/>
    <n v="38700"/>
  </r>
  <r>
    <s v="PR-008"/>
    <s v="고수정"/>
    <x v="1"/>
    <x v="3"/>
    <x v="7"/>
    <n v="140520"/>
    <n v="78000"/>
  </r>
  <r>
    <s v="PR-009"/>
    <s v="유응구"/>
    <x v="1"/>
    <x v="3"/>
    <x v="8"/>
    <n v="22020"/>
    <n v="52200"/>
  </r>
  <r>
    <s v="PR-010"/>
    <s v="이병열"/>
    <x v="0"/>
    <x v="0"/>
    <x v="9"/>
    <n v="80250"/>
    <n v="11250"/>
  </r>
  <r>
    <s v="PR-011"/>
    <s v="강흥석"/>
    <x v="0"/>
    <x v="1"/>
    <x v="10"/>
    <n v="135000"/>
    <n v="152000"/>
  </r>
  <r>
    <s v="PR-012"/>
    <s v="백준걸"/>
    <x v="0"/>
    <x v="3"/>
    <x v="11"/>
    <n v="38000"/>
    <n v="29000"/>
  </r>
  <r>
    <s v="PR-013"/>
    <s v="이지영"/>
    <x v="1"/>
    <x v="0"/>
    <x v="12"/>
    <n v="178000"/>
    <n v="120200"/>
  </r>
  <r>
    <s v="PR-014"/>
    <s v="김미현"/>
    <x v="0"/>
    <x v="0"/>
    <x v="13"/>
    <n v="135000"/>
    <n v="78000"/>
  </r>
  <r>
    <s v="PR-015"/>
    <s v="한미우"/>
    <x v="0"/>
    <x v="1"/>
    <x v="5"/>
    <n v="38700"/>
    <n v="122500"/>
  </r>
  <r>
    <s v="PR-016"/>
    <s v="최재석"/>
    <x v="0"/>
    <x v="2"/>
    <x v="6"/>
    <n v="135000"/>
    <n v="2020"/>
  </r>
  <r>
    <s v="PR-017"/>
    <s v="안성윤"/>
    <x v="0"/>
    <x v="2"/>
    <x v="14"/>
    <n v="37000"/>
    <n v="14560"/>
  </r>
  <r>
    <s v="PR-018"/>
    <s v="하인화"/>
    <x v="1"/>
    <x v="3"/>
    <x v="15"/>
    <n v="5800"/>
    <n v="22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updatedVersion="6" minRefreshableVersion="3" showDrill="0" useAutoFormatting="1" itemPrintTitles="1" createdVersion="6" indent="0" compact="0" outline="1" outlineData="1" compactData="0" multipleFieldFilters="0">
  <location ref="J4:Q13" firstHeaderRow="1" firstDataRow="2" firstDataCol="3" rowPageCount="1" colPageCount="1"/>
  <pivotFields count="8">
    <pivotField compact="0" showAll="0"/>
    <pivotField compact="0" showAll="0"/>
    <pivotField axis="axisPage" compact="0" showAll="0">
      <items count="3">
        <item x="0"/>
        <item x="1"/>
        <item t="default"/>
      </items>
    </pivotField>
    <pivotField axis="axisCol" compact="0" showAll="0" nonAutoSortDefault="1">
      <items count="5">
        <item x="3"/>
        <item x="0"/>
        <item x="2"/>
        <item x="1"/>
        <item t="default"/>
      </items>
    </pivotField>
    <pivotField axis="axisRow" compact="0" numFmtId="182" showAll="0">
      <items count="17">
        <item x="0"/>
        <item x="1"/>
        <item x="2"/>
        <item x="3"/>
        <item x="4"/>
        <item x="5"/>
        <item x="6"/>
        <item x="14"/>
        <item x="15"/>
        <item x="7"/>
        <item x="8"/>
        <item x="9"/>
        <item x="10"/>
        <item x="11"/>
        <item x="12"/>
        <item x="13"/>
        <item t="default"/>
      </items>
    </pivotField>
    <pivotField dataField="1" compact="0" showAll="0"/>
    <pivotField dataField="1" compact="0" showAll="0"/>
    <pivotField name="구분" axis="axisRow" compact="0" showAll="0" defaultSubtotal="0">
      <items count="2">
        <item n="오전" sd="0" x="0"/>
        <item n="오후" sd="0" x="1"/>
      </items>
    </pivotField>
  </pivotFields>
  <rowFields count="3">
    <field x="7"/>
    <field x="4"/>
    <field x="-2"/>
  </rowFields>
  <rowItems count="8">
    <i>
      <x/>
    </i>
    <i r="2">
      <x/>
    </i>
    <i r="2" i="1">
      <x v="1"/>
    </i>
    <i>
      <x v="1"/>
    </i>
    <i r="2">
      <x/>
    </i>
    <i r="2" i="1">
      <x v="1"/>
    </i>
    <i t="grand">
      <x/>
    </i>
    <i t="grand" i="1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2">
    <dataField name="합계 : 2월 구매실적" fld="5" baseField="7" baseItem="0" numFmtId="41"/>
    <dataField name="합계 : 3월 구매실적" fld="6" baseField="0" baseItem="0"/>
  </dataFields>
  <formats count="3">
    <format dxfId="6">
      <pivotArea collapsedLevelsAreSubtotals="1" fieldPosition="0">
        <references count="3">
          <reference field="4294967294" count="1">
            <x v="1"/>
          </reference>
          <reference field="4" count="1" selected="0">
            <x v="1048832"/>
          </reference>
          <reference field="7" count="1" selected="0">
            <x v="0"/>
          </reference>
        </references>
      </pivotArea>
    </format>
    <format dxfId="5">
      <pivotArea collapsedLevelsAreSubtotals="1" fieldPosition="0">
        <references count="3">
          <reference field="4294967294" count="1">
            <x v="1"/>
          </reference>
          <reference field="4" count="1" selected="0">
            <x v="1048832"/>
          </reference>
          <reference field="7" count="1" selected="0">
            <x v="1"/>
          </reference>
        </references>
      </pivotArea>
    </format>
    <format dxfId="4">
      <pivotArea field="7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G11" totalsRowShown="0">
  <autoFilter ref="A1:G11"/>
  <tableColumns count="7">
    <tableColumn id="1" name="고객번호"/>
    <tableColumn id="2" name="이름"/>
    <tableColumn id="3" name="성별"/>
    <tableColumn id="4" name="지역"/>
    <tableColumn id="5" name="출하시간" dataDxfId="8"/>
    <tableColumn id="6" name="2월 구매실적"/>
    <tableColumn id="7" name="3월 구매실적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43"/>
  <sheetViews>
    <sheetView tabSelected="1" zoomScaleNormal="100" workbookViewId="0">
      <selection activeCell="K17" sqref="K17"/>
    </sheetView>
  </sheetViews>
  <sheetFormatPr defaultRowHeight="16.5"/>
  <cols>
    <col min="1" max="1" width="3.875" style="7" customWidth="1"/>
    <col min="2" max="2" width="11.75" style="7" customWidth="1"/>
    <col min="3" max="3" width="9" style="7"/>
    <col min="4" max="4" width="15.875" style="7" customWidth="1"/>
    <col min="5" max="5" width="9" style="7"/>
    <col min="6" max="6" width="9.5" style="7" customWidth="1"/>
    <col min="7" max="7" width="11.75" style="7" customWidth="1"/>
    <col min="8" max="8" width="11.5" style="7" customWidth="1"/>
    <col min="9" max="9" width="8.375" style="7" customWidth="1"/>
    <col min="10" max="10" width="17" style="7" customWidth="1"/>
    <col min="11" max="16384" width="9" style="7"/>
  </cols>
  <sheetData>
    <row r="1" spans="2:10">
      <c r="J1" s="17" t="s">
        <v>36</v>
      </c>
    </row>
    <row r="2" spans="2:10">
      <c r="B2" s="8" t="s">
        <v>31</v>
      </c>
      <c r="C2" s="8" t="s">
        <v>0</v>
      </c>
      <c r="D2" s="8" t="s">
        <v>37</v>
      </c>
      <c r="E2" s="8" t="s">
        <v>32</v>
      </c>
      <c r="F2" s="8" t="s">
        <v>33</v>
      </c>
      <c r="G2" s="8" t="s">
        <v>34</v>
      </c>
      <c r="H2" s="8" t="s">
        <v>35</v>
      </c>
      <c r="J2" s="18">
        <v>43139</v>
      </c>
    </row>
    <row r="3" spans="2:10">
      <c r="B3" s="9">
        <v>1001</v>
      </c>
      <c r="C3" s="9" t="s">
        <v>1</v>
      </c>
      <c r="D3" s="19">
        <v>39448</v>
      </c>
      <c r="E3" s="10">
        <v>80</v>
      </c>
      <c r="F3" s="10">
        <v>70</v>
      </c>
      <c r="G3" s="10">
        <v>80</v>
      </c>
      <c r="H3" s="16">
        <f>AVERAGE(E3:G3)</f>
        <v>76.666666666666671</v>
      </c>
      <c r="J3" s="20"/>
    </row>
    <row r="4" spans="2:10">
      <c r="B4" s="9">
        <v>1002</v>
      </c>
      <c r="C4" s="9" t="s">
        <v>2</v>
      </c>
      <c r="D4" s="19">
        <v>39449</v>
      </c>
      <c r="E4" s="10">
        <v>50</v>
      </c>
      <c r="F4" s="10">
        <v>50</v>
      </c>
      <c r="G4" s="10">
        <v>50</v>
      </c>
      <c r="H4" s="16">
        <f t="shared" ref="H4:H22" si="0">AVERAGE(E4:G4)</f>
        <v>50</v>
      </c>
      <c r="J4" s="20"/>
    </row>
    <row r="5" spans="2:10">
      <c r="B5" s="9">
        <v>1003</v>
      </c>
      <c r="C5" s="9" t="s">
        <v>3</v>
      </c>
      <c r="D5" s="19">
        <v>39450</v>
      </c>
      <c r="E5" s="10">
        <v>40</v>
      </c>
      <c r="F5" s="10">
        <v>28</v>
      </c>
      <c r="G5" s="10">
        <v>40</v>
      </c>
      <c r="H5" s="16">
        <f t="shared" si="0"/>
        <v>36</v>
      </c>
      <c r="J5" s="20"/>
    </row>
    <row r="6" spans="2:10">
      <c r="B6" s="9">
        <v>1004</v>
      </c>
      <c r="C6" s="9" t="s">
        <v>4</v>
      </c>
      <c r="D6" s="19">
        <v>39451</v>
      </c>
      <c r="E6" s="10">
        <v>70</v>
      </c>
      <c r="F6" s="10">
        <v>34</v>
      </c>
      <c r="G6" s="10">
        <v>40</v>
      </c>
      <c r="H6" s="16">
        <f t="shared" si="0"/>
        <v>48</v>
      </c>
      <c r="J6" s="20"/>
    </row>
    <row r="7" spans="2:10">
      <c r="B7" s="9">
        <v>1005</v>
      </c>
      <c r="C7" s="9" t="s">
        <v>5</v>
      </c>
      <c r="D7" s="19">
        <v>39452</v>
      </c>
      <c r="E7" s="10">
        <v>50</v>
      </c>
      <c r="F7" s="10">
        <v>80</v>
      </c>
      <c r="G7" s="10">
        <v>70</v>
      </c>
      <c r="H7" s="16">
        <f t="shared" si="0"/>
        <v>66.666666666666671</v>
      </c>
      <c r="J7" s="20"/>
    </row>
    <row r="8" spans="2:10">
      <c r="B8" s="9">
        <v>1006</v>
      </c>
      <c r="C8" s="9" t="s">
        <v>6</v>
      </c>
      <c r="D8" s="19">
        <v>39453</v>
      </c>
      <c r="E8" s="10">
        <v>28</v>
      </c>
      <c r="F8" s="10">
        <v>80</v>
      </c>
      <c r="G8" s="10">
        <v>50</v>
      </c>
      <c r="H8" s="16">
        <f t="shared" si="0"/>
        <v>52.666666666666664</v>
      </c>
      <c r="J8" s="20"/>
    </row>
    <row r="9" spans="2:10">
      <c r="B9" s="9">
        <v>1007</v>
      </c>
      <c r="C9" s="9" t="s">
        <v>7</v>
      </c>
      <c r="D9" s="19">
        <v>39454</v>
      </c>
      <c r="E9" s="10">
        <v>78</v>
      </c>
      <c r="F9" s="10">
        <v>50</v>
      </c>
      <c r="G9" s="10">
        <v>28</v>
      </c>
      <c r="H9" s="16">
        <f t="shared" si="0"/>
        <v>52</v>
      </c>
      <c r="J9" s="20"/>
    </row>
    <row r="10" spans="2:10">
      <c r="B10" s="9">
        <v>1008</v>
      </c>
      <c r="C10" s="9" t="s">
        <v>8</v>
      </c>
      <c r="D10" s="19">
        <v>39455</v>
      </c>
      <c r="E10" s="10">
        <v>80</v>
      </c>
      <c r="F10" s="10">
        <v>40</v>
      </c>
      <c r="G10" s="10">
        <v>78</v>
      </c>
      <c r="H10" s="16">
        <f t="shared" si="0"/>
        <v>66</v>
      </c>
      <c r="J10" s="20"/>
    </row>
    <row r="11" spans="2:10">
      <c r="B11" s="9">
        <v>1009</v>
      </c>
      <c r="C11" s="9" t="s">
        <v>9</v>
      </c>
      <c r="D11" s="19">
        <v>39456</v>
      </c>
      <c r="E11" s="10">
        <v>70</v>
      </c>
      <c r="F11" s="10">
        <v>70</v>
      </c>
      <c r="G11" s="10">
        <v>80</v>
      </c>
      <c r="H11" s="16">
        <f t="shared" si="0"/>
        <v>73.333333333333329</v>
      </c>
      <c r="J11" s="20"/>
    </row>
    <row r="12" spans="2:10">
      <c r="B12" s="9">
        <v>1010</v>
      </c>
      <c r="C12" s="9" t="s">
        <v>10</v>
      </c>
      <c r="D12" s="19">
        <v>39457</v>
      </c>
      <c r="E12" s="10">
        <v>45</v>
      </c>
      <c r="F12" s="10">
        <v>30</v>
      </c>
      <c r="G12" s="10">
        <v>80</v>
      </c>
      <c r="H12" s="16">
        <f t="shared" si="0"/>
        <v>51.666666666666664</v>
      </c>
      <c r="J12" s="20"/>
    </row>
    <row r="13" spans="2:10">
      <c r="B13" s="9">
        <v>1011</v>
      </c>
      <c r="C13" s="9" t="s">
        <v>11</v>
      </c>
      <c r="D13" s="19">
        <v>39569</v>
      </c>
      <c r="E13" s="10">
        <v>70</v>
      </c>
      <c r="F13" s="10">
        <v>34</v>
      </c>
      <c r="G13" s="10">
        <v>40</v>
      </c>
      <c r="H13" s="16">
        <f t="shared" si="0"/>
        <v>48</v>
      </c>
      <c r="J13" s="20"/>
    </row>
    <row r="14" spans="2:10">
      <c r="B14" s="9">
        <v>1012</v>
      </c>
      <c r="C14" s="9" t="s">
        <v>12</v>
      </c>
      <c r="D14" s="19">
        <v>39570</v>
      </c>
      <c r="E14" s="10">
        <v>50</v>
      </c>
      <c r="F14" s="10">
        <v>80</v>
      </c>
      <c r="G14" s="10">
        <v>70</v>
      </c>
      <c r="H14" s="16">
        <f t="shared" si="0"/>
        <v>66.666666666666671</v>
      </c>
      <c r="J14" s="20"/>
    </row>
    <row r="15" spans="2:10">
      <c r="B15" s="9">
        <v>1013</v>
      </c>
      <c r="C15" s="9" t="s">
        <v>13</v>
      </c>
      <c r="D15" s="19">
        <v>39571</v>
      </c>
      <c r="E15" s="10">
        <v>28</v>
      </c>
      <c r="F15" s="10">
        <v>80</v>
      </c>
      <c r="G15" s="10">
        <v>50</v>
      </c>
      <c r="H15" s="16">
        <f t="shared" si="0"/>
        <v>52.666666666666664</v>
      </c>
      <c r="J15" s="20"/>
    </row>
    <row r="16" spans="2:10">
      <c r="B16" s="9">
        <v>1014</v>
      </c>
      <c r="C16" s="9" t="s">
        <v>14</v>
      </c>
      <c r="D16" s="19">
        <v>39572</v>
      </c>
      <c r="E16" s="10">
        <v>78</v>
      </c>
      <c r="F16" s="10">
        <v>50</v>
      </c>
      <c r="G16" s="10">
        <v>28</v>
      </c>
      <c r="H16" s="16">
        <f t="shared" si="0"/>
        <v>52</v>
      </c>
      <c r="J16" s="20"/>
    </row>
    <row r="17" spans="2:10">
      <c r="B17" s="9">
        <v>1015</v>
      </c>
      <c r="C17" s="9" t="s">
        <v>15</v>
      </c>
      <c r="D17" s="19">
        <v>39573</v>
      </c>
      <c r="E17" s="10">
        <v>50</v>
      </c>
      <c r="F17" s="10">
        <v>50</v>
      </c>
      <c r="G17" s="10">
        <v>50</v>
      </c>
      <c r="H17" s="16">
        <f t="shared" si="0"/>
        <v>50</v>
      </c>
      <c r="J17" s="20"/>
    </row>
    <row r="18" spans="2:10">
      <c r="B18" s="9">
        <v>1016</v>
      </c>
      <c r="C18" s="9" t="s">
        <v>16</v>
      </c>
      <c r="D18" s="19">
        <v>39574</v>
      </c>
      <c r="E18" s="10">
        <v>40</v>
      </c>
      <c r="F18" s="10">
        <v>28</v>
      </c>
      <c r="G18" s="10">
        <v>40</v>
      </c>
      <c r="H18" s="16">
        <f t="shared" si="0"/>
        <v>36</v>
      </c>
      <c r="J18" s="20"/>
    </row>
    <row r="19" spans="2:10">
      <c r="B19" s="9">
        <v>1017</v>
      </c>
      <c r="C19" s="9" t="s">
        <v>17</v>
      </c>
      <c r="D19" s="19">
        <v>39575</v>
      </c>
      <c r="E19" s="10">
        <v>70</v>
      </c>
      <c r="F19" s="10">
        <v>34</v>
      </c>
      <c r="G19" s="10">
        <v>40</v>
      </c>
      <c r="H19" s="16">
        <f t="shared" si="0"/>
        <v>48</v>
      </c>
      <c r="J19" s="20"/>
    </row>
    <row r="20" spans="2:10">
      <c r="B20" s="9">
        <v>1018</v>
      </c>
      <c r="C20" s="9" t="s">
        <v>18</v>
      </c>
      <c r="D20" s="19">
        <v>39576</v>
      </c>
      <c r="E20" s="10">
        <v>50</v>
      </c>
      <c r="F20" s="10">
        <v>80</v>
      </c>
      <c r="G20" s="10">
        <v>70</v>
      </c>
      <c r="H20" s="16">
        <f t="shared" si="0"/>
        <v>66.666666666666671</v>
      </c>
      <c r="J20" s="20"/>
    </row>
    <row r="21" spans="2:10">
      <c r="B21" s="9">
        <v>1019</v>
      </c>
      <c r="C21" s="9" t="s">
        <v>19</v>
      </c>
      <c r="D21" s="19">
        <v>39577</v>
      </c>
      <c r="E21" s="10">
        <v>28</v>
      </c>
      <c r="F21" s="10">
        <v>80</v>
      </c>
      <c r="G21" s="10">
        <v>50</v>
      </c>
      <c r="H21" s="16">
        <f t="shared" si="0"/>
        <v>52.666666666666664</v>
      </c>
      <c r="J21" s="20"/>
    </row>
    <row r="22" spans="2:10">
      <c r="B22" s="9">
        <v>1020</v>
      </c>
      <c r="C22" s="9" t="s">
        <v>20</v>
      </c>
      <c r="D22" s="19">
        <v>39578</v>
      </c>
      <c r="E22" s="10">
        <v>70</v>
      </c>
      <c r="F22" s="10">
        <v>34</v>
      </c>
      <c r="G22" s="10">
        <v>40</v>
      </c>
      <c r="H22" s="16">
        <f t="shared" si="0"/>
        <v>48</v>
      </c>
      <c r="J22" s="20"/>
    </row>
    <row r="24" spans="2:10">
      <c r="B24" s="7" t="s">
        <v>219</v>
      </c>
    </row>
    <row r="25" spans="2:10">
      <c r="B25" s="7" t="b">
        <f>OR(ISEVEN(B3)=TRUE,D3&gt;=EDATE($J$2,-10*12))</f>
        <v>0</v>
      </c>
    </row>
    <row r="28" spans="2:10">
      <c r="B28" s="8" t="s">
        <v>31</v>
      </c>
      <c r="C28" s="8" t="s">
        <v>0</v>
      </c>
      <c r="D28" s="8" t="s">
        <v>37</v>
      </c>
      <c r="E28" s="8" t="s">
        <v>32</v>
      </c>
      <c r="F28" s="8" t="s">
        <v>33</v>
      </c>
      <c r="G28" s="8" t="s">
        <v>34</v>
      </c>
      <c r="H28" s="8" t="s">
        <v>35</v>
      </c>
    </row>
    <row r="29" spans="2:10">
      <c r="B29" s="9">
        <v>1002</v>
      </c>
      <c r="C29" s="9" t="s">
        <v>2</v>
      </c>
      <c r="D29" s="19">
        <v>39449</v>
      </c>
      <c r="E29" s="10">
        <v>50</v>
      </c>
      <c r="F29" s="10">
        <v>50</v>
      </c>
      <c r="G29" s="10">
        <v>50</v>
      </c>
      <c r="H29" s="16">
        <v>50</v>
      </c>
    </row>
    <row r="30" spans="2:10">
      <c r="B30" s="9">
        <v>1004</v>
      </c>
      <c r="C30" s="9" t="s">
        <v>4</v>
      </c>
      <c r="D30" s="19">
        <v>39451</v>
      </c>
      <c r="E30" s="10">
        <v>70</v>
      </c>
      <c r="F30" s="10">
        <v>34</v>
      </c>
      <c r="G30" s="10">
        <v>40</v>
      </c>
      <c r="H30" s="16">
        <v>48</v>
      </c>
    </row>
    <row r="31" spans="2:10">
      <c r="B31" s="9">
        <v>1006</v>
      </c>
      <c r="C31" s="9" t="s">
        <v>6</v>
      </c>
      <c r="D31" s="19">
        <v>39453</v>
      </c>
      <c r="E31" s="10">
        <v>28</v>
      </c>
      <c r="F31" s="10">
        <v>80</v>
      </c>
      <c r="G31" s="10">
        <v>50</v>
      </c>
      <c r="H31" s="16">
        <v>52.666666666666664</v>
      </c>
    </row>
    <row r="32" spans="2:10">
      <c r="B32" s="9">
        <v>1008</v>
      </c>
      <c r="C32" s="9" t="s">
        <v>8</v>
      </c>
      <c r="D32" s="19">
        <v>39455</v>
      </c>
      <c r="E32" s="10">
        <v>80</v>
      </c>
      <c r="F32" s="10">
        <v>40</v>
      </c>
      <c r="G32" s="10">
        <v>78</v>
      </c>
      <c r="H32" s="16">
        <v>66</v>
      </c>
    </row>
    <row r="33" spans="2:8">
      <c r="B33" s="9">
        <v>1010</v>
      </c>
      <c r="C33" s="9" t="s">
        <v>10</v>
      </c>
      <c r="D33" s="19">
        <v>39457</v>
      </c>
      <c r="E33" s="10">
        <v>45</v>
      </c>
      <c r="F33" s="10">
        <v>30</v>
      </c>
      <c r="G33" s="10">
        <v>80</v>
      </c>
      <c r="H33" s="16">
        <v>51.666666666666664</v>
      </c>
    </row>
    <row r="34" spans="2:8">
      <c r="B34" s="9">
        <v>1011</v>
      </c>
      <c r="C34" s="9" t="s">
        <v>11</v>
      </c>
      <c r="D34" s="19">
        <v>39569</v>
      </c>
      <c r="E34" s="10">
        <v>70</v>
      </c>
      <c r="F34" s="10">
        <v>34</v>
      </c>
      <c r="G34" s="10">
        <v>40</v>
      </c>
      <c r="H34" s="16">
        <v>48</v>
      </c>
    </row>
    <row r="35" spans="2:8">
      <c r="B35" s="9">
        <v>1012</v>
      </c>
      <c r="C35" s="9" t="s">
        <v>12</v>
      </c>
      <c r="D35" s="19">
        <v>39570</v>
      </c>
      <c r="E35" s="10">
        <v>50</v>
      </c>
      <c r="F35" s="10">
        <v>80</v>
      </c>
      <c r="G35" s="10">
        <v>70</v>
      </c>
      <c r="H35" s="16">
        <v>66.666666666666671</v>
      </c>
    </row>
    <row r="36" spans="2:8">
      <c r="B36" s="9">
        <v>1013</v>
      </c>
      <c r="C36" s="9" t="s">
        <v>13</v>
      </c>
      <c r="D36" s="19">
        <v>39571</v>
      </c>
      <c r="E36" s="10">
        <v>28</v>
      </c>
      <c r="F36" s="10">
        <v>80</v>
      </c>
      <c r="G36" s="10">
        <v>50</v>
      </c>
      <c r="H36" s="16">
        <v>52.666666666666664</v>
      </c>
    </row>
    <row r="37" spans="2:8">
      <c r="B37" s="9">
        <v>1014</v>
      </c>
      <c r="C37" s="9" t="s">
        <v>14</v>
      </c>
      <c r="D37" s="19">
        <v>39572</v>
      </c>
      <c r="E37" s="10">
        <v>78</v>
      </c>
      <c r="F37" s="10">
        <v>50</v>
      </c>
      <c r="G37" s="10">
        <v>28</v>
      </c>
      <c r="H37" s="16">
        <v>52</v>
      </c>
    </row>
    <row r="38" spans="2:8">
      <c r="B38" s="9">
        <v>1015</v>
      </c>
      <c r="C38" s="9" t="s">
        <v>15</v>
      </c>
      <c r="D38" s="19">
        <v>39573</v>
      </c>
      <c r="E38" s="10">
        <v>50</v>
      </c>
      <c r="F38" s="10">
        <v>50</v>
      </c>
      <c r="G38" s="10">
        <v>50</v>
      </c>
      <c r="H38" s="16">
        <v>50</v>
      </c>
    </row>
    <row r="39" spans="2:8">
      <c r="B39" s="9">
        <v>1016</v>
      </c>
      <c r="C39" s="9" t="s">
        <v>16</v>
      </c>
      <c r="D39" s="19">
        <v>39574</v>
      </c>
      <c r="E39" s="10">
        <v>40</v>
      </c>
      <c r="F39" s="10">
        <v>28</v>
      </c>
      <c r="G39" s="10">
        <v>40</v>
      </c>
      <c r="H39" s="16">
        <v>36</v>
      </c>
    </row>
    <row r="40" spans="2:8">
      <c r="B40" s="9">
        <v>1017</v>
      </c>
      <c r="C40" s="9" t="s">
        <v>17</v>
      </c>
      <c r="D40" s="19">
        <v>39575</v>
      </c>
      <c r="E40" s="10">
        <v>70</v>
      </c>
      <c r="F40" s="10">
        <v>34</v>
      </c>
      <c r="G40" s="10">
        <v>40</v>
      </c>
      <c r="H40" s="16">
        <v>48</v>
      </c>
    </row>
    <row r="41" spans="2:8">
      <c r="B41" s="9">
        <v>1018</v>
      </c>
      <c r="C41" s="9" t="s">
        <v>18</v>
      </c>
      <c r="D41" s="19">
        <v>39576</v>
      </c>
      <c r="E41" s="10">
        <v>50</v>
      </c>
      <c r="F41" s="10">
        <v>80</v>
      </c>
      <c r="G41" s="10">
        <v>70</v>
      </c>
      <c r="H41" s="16">
        <v>66.666666666666671</v>
      </c>
    </row>
    <row r="42" spans="2:8">
      <c r="B42" s="9">
        <v>1019</v>
      </c>
      <c r="C42" s="9" t="s">
        <v>19</v>
      </c>
      <c r="D42" s="19">
        <v>39577</v>
      </c>
      <c r="E42" s="10">
        <v>28</v>
      </c>
      <c r="F42" s="10">
        <v>80</v>
      </c>
      <c r="G42" s="10">
        <v>50</v>
      </c>
      <c r="H42" s="16">
        <v>52.666666666666664</v>
      </c>
    </row>
    <row r="43" spans="2:8">
      <c r="B43" s="9">
        <v>1020</v>
      </c>
      <c r="C43" s="9" t="s">
        <v>20</v>
      </c>
      <c r="D43" s="19">
        <v>39578</v>
      </c>
      <c r="E43" s="10">
        <v>70</v>
      </c>
      <c r="F43" s="10">
        <v>34</v>
      </c>
      <c r="G43" s="10">
        <v>40</v>
      </c>
      <c r="H43" s="16">
        <v>48</v>
      </c>
    </row>
  </sheetData>
  <phoneticPr fontId="1" type="noConversion"/>
  <conditionalFormatting sqref="B3:H22">
    <cfRule type="expression" dxfId="19" priority="1">
      <formula>AND($D3&gt;=DATE(2008,1,9),$D3&lt;=DATE(2008,5,2))</formula>
    </cfRule>
    <cfRule type="expression" dxfId="18" priority="2">
      <formula>ISODD(QUOTIENT(ROW($B3),5))=TRUE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4:J51"/>
  <sheetViews>
    <sheetView workbookViewId="0">
      <selection activeCell="D27" sqref="D27"/>
    </sheetView>
  </sheetViews>
  <sheetFormatPr defaultRowHeight="16.5"/>
  <cols>
    <col min="1" max="1" width="9" style="7"/>
    <col min="2" max="2" width="9" style="44"/>
    <col min="3" max="4" width="9" style="7"/>
    <col min="5" max="5" width="9.625" style="7" customWidth="1"/>
    <col min="6" max="8" width="9" style="7"/>
    <col min="9" max="9" width="11.375" style="7" customWidth="1"/>
    <col min="10" max="16384" width="9" style="7"/>
  </cols>
  <sheetData>
    <row r="4" spans="2:10">
      <c r="B4" s="42" t="s">
        <v>38</v>
      </c>
      <c r="C4" s="21" t="s">
        <v>39</v>
      </c>
      <c r="D4" s="21" t="s">
        <v>40</v>
      </c>
      <c r="E4" s="21" t="s">
        <v>41</v>
      </c>
      <c r="F4" s="21" t="s">
        <v>42</v>
      </c>
      <c r="G4" s="21" t="s">
        <v>43</v>
      </c>
      <c r="H4" s="21" t="s">
        <v>44</v>
      </c>
      <c r="I4" s="21" t="s">
        <v>45</v>
      </c>
      <c r="J4" s="21" t="s">
        <v>0</v>
      </c>
    </row>
    <row r="5" spans="2:10">
      <c r="B5" s="43" t="s">
        <v>141</v>
      </c>
      <c r="C5" s="22">
        <v>80</v>
      </c>
      <c r="D5" s="22">
        <v>70</v>
      </c>
      <c r="E5" s="22">
        <f t="shared" ref="E5:E51" si="0">C5+D5</f>
        <v>150</v>
      </c>
      <c r="F5" s="22" t="s">
        <v>46</v>
      </c>
      <c r="G5" s="22">
        <v>2004</v>
      </c>
      <c r="H5" s="22" t="s">
        <v>47</v>
      </c>
      <c r="I5" s="23">
        <v>40179</v>
      </c>
      <c r="J5" s="22" t="s">
        <v>48</v>
      </c>
    </row>
    <row r="6" spans="2:10">
      <c r="B6" s="43" t="s">
        <v>53</v>
      </c>
      <c r="C6" s="22">
        <v>90</v>
      </c>
      <c r="D6" s="22">
        <v>80</v>
      </c>
      <c r="E6" s="22">
        <f t="shared" si="0"/>
        <v>170</v>
      </c>
      <c r="F6" s="22" t="s">
        <v>49</v>
      </c>
      <c r="G6" s="22">
        <v>2004</v>
      </c>
      <c r="H6" s="22" t="s">
        <v>47</v>
      </c>
      <c r="I6" s="23">
        <v>39083</v>
      </c>
      <c r="J6" s="22" t="s">
        <v>50</v>
      </c>
    </row>
    <row r="7" spans="2:10">
      <c r="B7" s="43" t="s">
        <v>57</v>
      </c>
      <c r="C7" s="22">
        <v>60</v>
      </c>
      <c r="D7" s="22">
        <v>60</v>
      </c>
      <c r="E7" s="22">
        <f t="shared" si="0"/>
        <v>120</v>
      </c>
      <c r="F7" s="22" t="s">
        <v>51</v>
      </c>
      <c r="G7" s="22">
        <v>2004</v>
      </c>
      <c r="H7" s="22" t="s">
        <v>47</v>
      </c>
      <c r="I7" s="23">
        <v>39965</v>
      </c>
      <c r="J7" s="22" t="s">
        <v>52</v>
      </c>
    </row>
    <row r="8" spans="2:10">
      <c r="B8" s="43" t="s">
        <v>59</v>
      </c>
      <c r="C8" s="22">
        <v>80</v>
      </c>
      <c r="D8" s="22">
        <v>90</v>
      </c>
      <c r="E8" s="22">
        <f t="shared" si="0"/>
        <v>170</v>
      </c>
      <c r="F8" s="22" t="s">
        <v>49</v>
      </c>
      <c r="G8" s="22">
        <v>2003</v>
      </c>
      <c r="H8" s="22" t="s">
        <v>54</v>
      </c>
      <c r="I8" s="23">
        <v>39814</v>
      </c>
      <c r="J8" s="22" t="s">
        <v>55</v>
      </c>
    </row>
    <row r="9" spans="2:10">
      <c r="B9" s="43" t="s">
        <v>61</v>
      </c>
      <c r="C9" s="22">
        <v>90</v>
      </c>
      <c r="D9" s="22">
        <v>50</v>
      </c>
      <c r="E9" s="22">
        <f t="shared" si="0"/>
        <v>140</v>
      </c>
      <c r="F9" s="22" t="s">
        <v>56</v>
      </c>
      <c r="G9" s="22">
        <v>2004</v>
      </c>
      <c r="H9" s="22" t="s">
        <v>54</v>
      </c>
      <c r="I9" s="23">
        <v>39814</v>
      </c>
      <c r="J9" s="22" t="s">
        <v>55</v>
      </c>
    </row>
    <row r="10" spans="2:10">
      <c r="B10" s="43" t="s">
        <v>70</v>
      </c>
      <c r="C10" s="22">
        <v>75</v>
      </c>
      <c r="D10" s="22">
        <v>50</v>
      </c>
      <c r="E10" s="22">
        <f t="shared" si="0"/>
        <v>125</v>
      </c>
      <c r="F10" s="22" t="s">
        <v>51</v>
      </c>
      <c r="G10" s="22">
        <v>2004</v>
      </c>
      <c r="H10" s="22" t="s">
        <v>54</v>
      </c>
      <c r="I10" s="23">
        <v>38687</v>
      </c>
      <c r="J10" s="22" t="s">
        <v>58</v>
      </c>
    </row>
    <row r="11" spans="2:10">
      <c r="B11" s="43" t="s">
        <v>72</v>
      </c>
      <c r="C11" s="22">
        <v>80</v>
      </c>
      <c r="D11" s="22">
        <v>60</v>
      </c>
      <c r="E11" s="22">
        <f t="shared" si="0"/>
        <v>140</v>
      </c>
      <c r="F11" s="22" t="s">
        <v>46</v>
      </c>
      <c r="G11" s="22">
        <v>2004</v>
      </c>
      <c r="H11" s="22" t="s">
        <v>54</v>
      </c>
      <c r="I11" s="23">
        <v>36526</v>
      </c>
      <c r="J11" s="22" t="s">
        <v>60</v>
      </c>
    </row>
    <row r="12" spans="2:10">
      <c r="B12" s="43" t="s">
        <v>74</v>
      </c>
      <c r="C12" s="22">
        <v>85</v>
      </c>
      <c r="D12" s="22">
        <v>80</v>
      </c>
      <c r="E12" s="22">
        <f t="shared" si="0"/>
        <v>165</v>
      </c>
      <c r="F12" s="22" t="s">
        <v>49</v>
      </c>
      <c r="G12" s="22">
        <v>2004</v>
      </c>
      <c r="H12" s="22" t="s">
        <v>54</v>
      </c>
      <c r="I12" s="23">
        <v>39814</v>
      </c>
      <c r="J12" s="22" t="s">
        <v>62</v>
      </c>
    </row>
    <row r="13" spans="2:10">
      <c r="B13" s="43" t="s">
        <v>76</v>
      </c>
      <c r="C13" s="22">
        <v>60</v>
      </c>
      <c r="D13" s="22">
        <v>55</v>
      </c>
      <c r="E13" s="22">
        <f t="shared" si="0"/>
        <v>115</v>
      </c>
      <c r="F13" s="22" t="s">
        <v>64</v>
      </c>
      <c r="G13" s="22">
        <v>2004</v>
      </c>
      <c r="H13" s="22" t="s">
        <v>54</v>
      </c>
      <c r="I13" s="23">
        <v>39814</v>
      </c>
      <c r="J13" s="22" t="s">
        <v>65</v>
      </c>
    </row>
    <row r="14" spans="2:10">
      <c r="B14" s="43" t="s">
        <v>86</v>
      </c>
      <c r="C14" s="22">
        <v>40</v>
      </c>
      <c r="D14" s="22">
        <v>80</v>
      </c>
      <c r="E14" s="22">
        <f t="shared" si="0"/>
        <v>120</v>
      </c>
      <c r="F14" s="22" t="s">
        <v>51</v>
      </c>
      <c r="G14" s="22">
        <v>2004</v>
      </c>
      <c r="H14" s="22" t="s">
        <v>54</v>
      </c>
      <c r="I14" s="23">
        <v>40544</v>
      </c>
      <c r="J14" s="22" t="s">
        <v>67</v>
      </c>
    </row>
    <row r="15" spans="2:10">
      <c r="B15" s="43" t="s">
        <v>104</v>
      </c>
      <c r="C15" s="22">
        <v>20</v>
      </c>
      <c r="D15" s="22">
        <v>80</v>
      </c>
      <c r="E15" s="22">
        <f t="shared" si="0"/>
        <v>100</v>
      </c>
      <c r="F15" s="22" t="s">
        <v>64</v>
      </c>
      <c r="G15" s="22">
        <v>2004</v>
      </c>
      <c r="H15" s="22" t="s">
        <v>68</v>
      </c>
      <c r="I15" s="23">
        <v>40148</v>
      </c>
      <c r="J15" s="22" t="s">
        <v>69</v>
      </c>
    </row>
    <row r="16" spans="2:10">
      <c r="B16" s="43" t="s">
        <v>107</v>
      </c>
      <c r="C16" s="22">
        <v>80</v>
      </c>
      <c r="D16" s="22">
        <v>70</v>
      </c>
      <c r="E16" s="22">
        <f t="shared" si="0"/>
        <v>150</v>
      </c>
      <c r="F16" s="22" t="s">
        <v>46</v>
      </c>
      <c r="G16" s="22">
        <v>2004</v>
      </c>
      <c r="H16" s="22" t="s">
        <v>68</v>
      </c>
      <c r="I16" s="23">
        <v>39814</v>
      </c>
      <c r="J16" s="22" t="s">
        <v>71</v>
      </c>
    </row>
    <row r="17" spans="2:10">
      <c r="B17" s="43" t="s">
        <v>89</v>
      </c>
      <c r="C17" s="22">
        <v>90</v>
      </c>
      <c r="D17" s="22">
        <v>90</v>
      </c>
      <c r="E17" s="22">
        <f t="shared" si="0"/>
        <v>180</v>
      </c>
      <c r="F17" s="22" t="s">
        <v>56</v>
      </c>
      <c r="G17" s="22">
        <v>2004</v>
      </c>
      <c r="H17" s="22" t="s">
        <v>68</v>
      </c>
      <c r="I17" s="23">
        <v>39814</v>
      </c>
      <c r="J17" s="22" t="s">
        <v>73</v>
      </c>
    </row>
    <row r="18" spans="2:10">
      <c r="B18" s="43" t="s">
        <v>63</v>
      </c>
      <c r="C18" s="22">
        <v>95</v>
      </c>
      <c r="D18" s="22">
        <v>50</v>
      </c>
      <c r="E18" s="22">
        <f t="shared" si="0"/>
        <v>145</v>
      </c>
      <c r="F18" s="22" t="s">
        <v>46</v>
      </c>
      <c r="G18" s="22">
        <v>2003</v>
      </c>
      <c r="H18" s="22" t="s">
        <v>68</v>
      </c>
      <c r="I18" s="23">
        <v>39814</v>
      </c>
      <c r="J18" s="22" t="s">
        <v>75</v>
      </c>
    </row>
    <row r="19" spans="2:10">
      <c r="B19" s="43" t="s">
        <v>142</v>
      </c>
      <c r="C19" s="22">
        <v>85</v>
      </c>
      <c r="D19" s="22">
        <v>65</v>
      </c>
      <c r="E19" s="22">
        <f t="shared" si="0"/>
        <v>150</v>
      </c>
      <c r="F19" s="22" t="s">
        <v>46</v>
      </c>
      <c r="G19" s="22">
        <v>2004</v>
      </c>
      <c r="H19" s="22" t="s">
        <v>68</v>
      </c>
      <c r="I19" s="23">
        <v>39814</v>
      </c>
      <c r="J19" s="22" t="s">
        <v>77</v>
      </c>
    </row>
    <row r="20" spans="2:10">
      <c r="B20" s="43" t="s">
        <v>91</v>
      </c>
      <c r="C20" s="22">
        <v>50</v>
      </c>
      <c r="D20" s="22">
        <v>50</v>
      </c>
      <c r="E20" s="22">
        <f t="shared" si="0"/>
        <v>100</v>
      </c>
      <c r="F20" s="22" t="s">
        <v>64</v>
      </c>
      <c r="G20" s="22">
        <v>2004</v>
      </c>
      <c r="H20" s="22" t="s">
        <v>68</v>
      </c>
      <c r="I20" s="23">
        <v>39448</v>
      </c>
      <c r="J20" s="22" t="s">
        <v>79</v>
      </c>
    </row>
    <row r="21" spans="2:10">
      <c r="B21" s="43" t="s">
        <v>143</v>
      </c>
      <c r="C21" s="22">
        <v>45</v>
      </c>
      <c r="D21" s="22">
        <v>85</v>
      </c>
      <c r="E21" s="22">
        <f t="shared" si="0"/>
        <v>130</v>
      </c>
      <c r="F21" s="22" t="s">
        <v>51</v>
      </c>
      <c r="G21" s="22">
        <v>2004</v>
      </c>
      <c r="H21" s="22" t="s">
        <v>68</v>
      </c>
      <c r="I21" s="23">
        <v>38687</v>
      </c>
      <c r="J21" s="22" t="s">
        <v>81</v>
      </c>
    </row>
    <row r="22" spans="2:10">
      <c r="B22" s="43" t="s">
        <v>144</v>
      </c>
      <c r="C22" s="22">
        <v>50</v>
      </c>
      <c r="D22" s="22">
        <v>65</v>
      </c>
      <c r="E22" s="22">
        <f t="shared" si="0"/>
        <v>115</v>
      </c>
      <c r="F22" s="22" t="s">
        <v>64</v>
      </c>
      <c r="G22" s="22">
        <v>2004</v>
      </c>
      <c r="H22" s="22" t="s">
        <v>68</v>
      </c>
      <c r="I22" s="23">
        <v>37622</v>
      </c>
      <c r="J22" s="22" t="s">
        <v>83</v>
      </c>
    </row>
    <row r="23" spans="2:10">
      <c r="B23" s="43" t="s">
        <v>78</v>
      </c>
      <c r="C23" s="22">
        <v>55</v>
      </c>
      <c r="D23" s="22">
        <v>85</v>
      </c>
      <c r="E23" s="22">
        <f t="shared" si="0"/>
        <v>140</v>
      </c>
      <c r="F23" s="22" t="s">
        <v>46</v>
      </c>
      <c r="G23" s="22">
        <v>2003</v>
      </c>
      <c r="H23" s="22" t="s">
        <v>68</v>
      </c>
      <c r="I23" s="23">
        <v>40544</v>
      </c>
      <c r="J23" s="22" t="s">
        <v>85</v>
      </c>
    </row>
    <row r="24" spans="2:10">
      <c r="B24" s="43" t="s">
        <v>80</v>
      </c>
      <c r="C24" s="22">
        <v>100</v>
      </c>
      <c r="D24" s="22">
        <v>90</v>
      </c>
      <c r="E24" s="22">
        <f t="shared" si="0"/>
        <v>190</v>
      </c>
      <c r="F24" s="22" t="s">
        <v>56</v>
      </c>
      <c r="G24" s="22">
        <v>2004</v>
      </c>
      <c r="H24" s="22" t="s">
        <v>87</v>
      </c>
      <c r="I24" s="23">
        <v>38687</v>
      </c>
      <c r="J24" s="22" t="s">
        <v>88</v>
      </c>
    </row>
    <row r="25" spans="2:10">
      <c r="B25" s="43" t="s">
        <v>82</v>
      </c>
      <c r="C25" s="22">
        <v>50</v>
      </c>
      <c r="D25" s="22">
        <v>90</v>
      </c>
      <c r="E25" s="22">
        <f t="shared" si="0"/>
        <v>140</v>
      </c>
      <c r="F25" s="22" t="s">
        <v>46</v>
      </c>
      <c r="G25" s="22">
        <v>2004</v>
      </c>
      <c r="H25" s="22" t="s">
        <v>87</v>
      </c>
      <c r="I25" s="23">
        <v>37622</v>
      </c>
      <c r="J25" s="22" t="s">
        <v>90</v>
      </c>
    </row>
    <row r="26" spans="2:10">
      <c r="B26" s="43" t="s">
        <v>84</v>
      </c>
      <c r="C26" s="22">
        <v>90</v>
      </c>
      <c r="D26" s="22">
        <v>95</v>
      </c>
      <c r="E26" s="22">
        <f t="shared" si="0"/>
        <v>185</v>
      </c>
      <c r="F26" s="22" t="s">
        <v>56</v>
      </c>
      <c r="G26" s="22">
        <v>2004</v>
      </c>
      <c r="H26" s="22" t="s">
        <v>87</v>
      </c>
      <c r="I26" s="23">
        <v>39965</v>
      </c>
      <c r="J26" s="22" t="s">
        <v>92</v>
      </c>
    </row>
    <row r="27" spans="2:10">
      <c r="B27" s="43" t="s">
        <v>145</v>
      </c>
      <c r="C27" s="22">
        <v>80</v>
      </c>
      <c r="D27" s="22">
        <v>95</v>
      </c>
      <c r="E27" s="22">
        <f t="shared" si="0"/>
        <v>175</v>
      </c>
      <c r="F27" s="22" t="s">
        <v>49</v>
      </c>
      <c r="G27" s="22">
        <v>2004</v>
      </c>
      <c r="H27" s="22" t="s">
        <v>87</v>
      </c>
      <c r="I27" s="23">
        <v>39448</v>
      </c>
      <c r="J27" s="22" t="s">
        <v>94</v>
      </c>
    </row>
    <row r="28" spans="2:10">
      <c r="B28" s="43" t="s">
        <v>109</v>
      </c>
      <c r="C28" s="22">
        <v>60</v>
      </c>
      <c r="D28" s="22">
        <v>65</v>
      </c>
      <c r="E28" s="22">
        <f t="shared" si="0"/>
        <v>125</v>
      </c>
      <c r="F28" s="22" t="s">
        <v>51</v>
      </c>
      <c r="G28" s="22">
        <v>2004</v>
      </c>
      <c r="H28" s="22" t="s">
        <v>87</v>
      </c>
      <c r="I28" s="23">
        <v>40695</v>
      </c>
      <c r="J28" s="22" t="s">
        <v>96</v>
      </c>
    </row>
    <row r="29" spans="2:10">
      <c r="B29" s="43" t="s">
        <v>111</v>
      </c>
      <c r="C29" s="22">
        <v>65</v>
      </c>
      <c r="D29" s="22">
        <v>75</v>
      </c>
      <c r="E29" s="22">
        <f t="shared" si="0"/>
        <v>140</v>
      </c>
      <c r="F29" s="22" t="s">
        <v>46</v>
      </c>
      <c r="G29" s="22">
        <v>2004</v>
      </c>
      <c r="H29" s="22" t="s">
        <v>87</v>
      </c>
      <c r="I29" s="23">
        <v>40544</v>
      </c>
      <c r="J29" s="22" t="s">
        <v>98</v>
      </c>
    </row>
    <row r="30" spans="2:10">
      <c r="B30" s="43" t="s">
        <v>113</v>
      </c>
      <c r="C30" s="22">
        <v>80</v>
      </c>
      <c r="D30" s="22">
        <v>70</v>
      </c>
      <c r="E30" s="22">
        <f t="shared" si="0"/>
        <v>150</v>
      </c>
      <c r="F30" s="22" t="s">
        <v>46</v>
      </c>
      <c r="G30" s="22">
        <v>2004</v>
      </c>
      <c r="H30" s="22" t="s">
        <v>87</v>
      </c>
      <c r="I30" s="23">
        <v>40330</v>
      </c>
      <c r="J30" s="22" t="s">
        <v>100</v>
      </c>
    </row>
    <row r="31" spans="2:10">
      <c r="B31" s="43" t="s">
        <v>115</v>
      </c>
      <c r="C31" s="22">
        <v>90</v>
      </c>
      <c r="D31" s="22">
        <v>50</v>
      </c>
      <c r="E31" s="22">
        <f t="shared" si="0"/>
        <v>140</v>
      </c>
      <c r="F31" s="22" t="s">
        <v>46</v>
      </c>
      <c r="G31" s="22">
        <v>2004</v>
      </c>
      <c r="H31" s="22" t="s">
        <v>87</v>
      </c>
      <c r="I31" s="23">
        <v>40179</v>
      </c>
      <c r="J31" s="22" t="s">
        <v>102</v>
      </c>
    </row>
    <row r="32" spans="2:10">
      <c r="B32" s="43" t="s">
        <v>117</v>
      </c>
      <c r="C32" s="22">
        <v>95</v>
      </c>
      <c r="D32" s="22">
        <v>55</v>
      </c>
      <c r="E32" s="22">
        <f t="shared" si="0"/>
        <v>150</v>
      </c>
      <c r="F32" s="22" t="s">
        <v>46</v>
      </c>
      <c r="G32" s="22">
        <v>2004</v>
      </c>
      <c r="H32" s="22" t="s">
        <v>87</v>
      </c>
      <c r="I32" s="23">
        <v>39600</v>
      </c>
      <c r="J32" s="22" t="s">
        <v>103</v>
      </c>
    </row>
    <row r="33" spans="2:10">
      <c r="B33" s="43" t="s">
        <v>119</v>
      </c>
      <c r="C33" s="22">
        <v>80</v>
      </c>
      <c r="D33" s="22">
        <v>90</v>
      </c>
      <c r="E33" s="22">
        <f t="shared" si="0"/>
        <v>170</v>
      </c>
      <c r="F33" s="22" t="s">
        <v>49</v>
      </c>
      <c r="G33" s="22">
        <v>2004</v>
      </c>
      <c r="H33" s="22" t="s">
        <v>105</v>
      </c>
      <c r="I33" s="23">
        <v>37987</v>
      </c>
      <c r="J33" s="22" t="s">
        <v>106</v>
      </c>
    </row>
    <row r="34" spans="2:10">
      <c r="B34" s="43" t="s">
        <v>121</v>
      </c>
      <c r="C34" s="22">
        <v>75</v>
      </c>
      <c r="D34" s="22">
        <v>90</v>
      </c>
      <c r="E34" s="22">
        <f t="shared" si="0"/>
        <v>165</v>
      </c>
      <c r="F34" s="22" t="s">
        <v>49</v>
      </c>
      <c r="G34" s="22">
        <v>2004</v>
      </c>
      <c r="H34" s="22" t="s">
        <v>105</v>
      </c>
      <c r="I34" s="23">
        <v>36526</v>
      </c>
      <c r="J34" s="22" t="s">
        <v>108</v>
      </c>
    </row>
    <row r="35" spans="2:10">
      <c r="B35" s="43" t="s">
        <v>123</v>
      </c>
      <c r="C35" s="22">
        <v>80</v>
      </c>
      <c r="D35" s="22">
        <v>65</v>
      </c>
      <c r="E35" s="22">
        <f t="shared" si="0"/>
        <v>145</v>
      </c>
      <c r="F35" s="22" t="s">
        <v>46</v>
      </c>
      <c r="G35" s="22">
        <v>2004</v>
      </c>
      <c r="H35" s="22" t="s">
        <v>105</v>
      </c>
      <c r="I35" s="23">
        <v>39448</v>
      </c>
      <c r="J35" s="22" t="s">
        <v>110</v>
      </c>
    </row>
    <row r="36" spans="2:10">
      <c r="B36" s="43" t="s">
        <v>93</v>
      </c>
      <c r="C36" s="22">
        <v>70</v>
      </c>
      <c r="D36" s="22">
        <v>90</v>
      </c>
      <c r="E36" s="22">
        <f t="shared" si="0"/>
        <v>160</v>
      </c>
      <c r="F36" s="22" t="s">
        <v>49</v>
      </c>
      <c r="G36" s="22">
        <v>2004</v>
      </c>
      <c r="H36" s="22" t="s">
        <v>105</v>
      </c>
      <c r="I36" s="23">
        <v>39814</v>
      </c>
      <c r="J36" s="22" t="s">
        <v>112</v>
      </c>
    </row>
    <row r="37" spans="2:10">
      <c r="B37" s="43" t="s">
        <v>125</v>
      </c>
      <c r="C37" s="22">
        <v>80</v>
      </c>
      <c r="D37" s="22">
        <v>40</v>
      </c>
      <c r="E37" s="22">
        <f t="shared" si="0"/>
        <v>120</v>
      </c>
      <c r="F37" s="22" t="s">
        <v>51</v>
      </c>
      <c r="G37" s="22">
        <v>2003</v>
      </c>
      <c r="H37" s="22" t="s">
        <v>105</v>
      </c>
      <c r="I37" s="23">
        <v>40878</v>
      </c>
      <c r="J37" s="22" t="s">
        <v>114</v>
      </c>
    </row>
    <row r="38" spans="2:10">
      <c r="B38" s="43" t="s">
        <v>127</v>
      </c>
      <c r="C38" s="22">
        <v>65</v>
      </c>
      <c r="D38" s="22">
        <v>90</v>
      </c>
      <c r="E38" s="22">
        <f t="shared" si="0"/>
        <v>155</v>
      </c>
      <c r="F38" s="22" t="s">
        <v>46</v>
      </c>
      <c r="G38" s="22">
        <v>2004</v>
      </c>
      <c r="H38" s="22" t="s">
        <v>105</v>
      </c>
      <c r="I38" s="23">
        <v>36526</v>
      </c>
      <c r="J38" s="22" t="s">
        <v>116</v>
      </c>
    </row>
    <row r="39" spans="2:10">
      <c r="B39" s="43" t="s">
        <v>129</v>
      </c>
      <c r="C39" s="22">
        <v>60</v>
      </c>
      <c r="D39" s="22">
        <v>95</v>
      </c>
      <c r="E39" s="22">
        <f t="shared" si="0"/>
        <v>155</v>
      </c>
      <c r="F39" s="22" t="s">
        <v>46</v>
      </c>
      <c r="G39" s="22">
        <v>2004</v>
      </c>
      <c r="H39" s="22" t="s">
        <v>105</v>
      </c>
      <c r="I39" s="23">
        <v>3</v>
      </c>
      <c r="J39" s="22" t="s">
        <v>118</v>
      </c>
    </row>
    <row r="40" spans="2:10">
      <c r="B40" s="43" t="s">
        <v>131</v>
      </c>
      <c r="C40" s="22">
        <v>90</v>
      </c>
      <c r="D40" s="22">
        <v>80</v>
      </c>
      <c r="E40" s="22">
        <f t="shared" si="0"/>
        <v>170</v>
      </c>
      <c r="F40" s="22" t="s">
        <v>49</v>
      </c>
      <c r="G40" s="22">
        <v>2004</v>
      </c>
      <c r="H40" s="22" t="s">
        <v>105</v>
      </c>
      <c r="I40" s="23">
        <v>39448</v>
      </c>
      <c r="J40" s="22" t="s">
        <v>120</v>
      </c>
    </row>
    <row r="41" spans="2:10">
      <c r="B41" s="43" t="s">
        <v>133</v>
      </c>
      <c r="C41" s="22">
        <v>90</v>
      </c>
      <c r="D41" s="22">
        <v>50</v>
      </c>
      <c r="E41" s="22">
        <f t="shared" si="0"/>
        <v>140</v>
      </c>
      <c r="F41" s="22" t="s">
        <v>46</v>
      </c>
      <c r="G41" s="22">
        <v>2004</v>
      </c>
      <c r="H41" s="22" t="s">
        <v>105</v>
      </c>
      <c r="I41" s="23">
        <v>36161</v>
      </c>
      <c r="J41" s="22" t="s">
        <v>122</v>
      </c>
    </row>
    <row r="42" spans="2:10">
      <c r="B42" s="43" t="s">
        <v>135</v>
      </c>
      <c r="C42" s="22">
        <v>95</v>
      </c>
      <c r="D42" s="22">
        <v>60</v>
      </c>
      <c r="E42" s="22">
        <f t="shared" si="0"/>
        <v>155</v>
      </c>
      <c r="F42" s="22" t="s">
        <v>46</v>
      </c>
      <c r="G42" s="22">
        <v>2004</v>
      </c>
      <c r="H42" s="22" t="s">
        <v>105</v>
      </c>
      <c r="I42" s="23">
        <v>39083</v>
      </c>
      <c r="J42" s="22" t="s">
        <v>124</v>
      </c>
    </row>
    <row r="43" spans="2:10">
      <c r="B43" s="43" t="s">
        <v>137</v>
      </c>
      <c r="C43" s="22">
        <v>90</v>
      </c>
      <c r="D43" s="22">
        <v>75</v>
      </c>
      <c r="E43" s="22">
        <f t="shared" si="0"/>
        <v>165</v>
      </c>
      <c r="F43" s="22" t="s">
        <v>49</v>
      </c>
      <c r="G43" s="22">
        <v>2004</v>
      </c>
      <c r="H43" s="22" t="s">
        <v>105</v>
      </c>
      <c r="I43" s="23">
        <v>39448</v>
      </c>
      <c r="J43" s="22" t="s">
        <v>126</v>
      </c>
    </row>
    <row r="44" spans="2:10">
      <c r="B44" s="43" t="s">
        <v>66</v>
      </c>
      <c r="C44" s="22">
        <v>95</v>
      </c>
      <c r="D44" s="22">
        <v>75</v>
      </c>
      <c r="E44" s="22">
        <f t="shared" si="0"/>
        <v>170</v>
      </c>
      <c r="F44" s="22" t="s">
        <v>49</v>
      </c>
      <c r="G44" s="22">
        <v>2004</v>
      </c>
      <c r="H44" s="22" t="s">
        <v>105</v>
      </c>
      <c r="I44" s="23">
        <v>38322</v>
      </c>
      <c r="J44" s="22" t="s">
        <v>128</v>
      </c>
    </row>
    <row r="45" spans="2:10">
      <c r="B45" s="43" t="s">
        <v>95</v>
      </c>
      <c r="C45" s="22">
        <v>100</v>
      </c>
      <c r="D45" s="22">
        <v>80</v>
      </c>
      <c r="E45" s="22">
        <f t="shared" si="0"/>
        <v>180</v>
      </c>
      <c r="F45" s="22" t="s">
        <v>56</v>
      </c>
      <c r="G45" s="22">
        <v>2004</v>
      </c>
      <c r="H45" s="22" t="s">
        <v>105</v>
      </c>
      <c r="I45" s="23">
        <v>39814</v>
      </c>
      <c r="J45" s="22" t="s">
        <v>130</v>
      </c>
    </row>
    <row r="46" spans="2:10">
      <c r="B46" s="43" t="s">
        <v>146</v>
      </c>
      <c r="C46" s="22">
        <v>80</v>
      </c>
      <c r="D46" s="22">
        <v>70</v>
      </c>
      <c r="E46" s="22">
        <f t="shared" si="0"/>
        <v>150</v>
      </c>
      <c r="F46" s="22" t="s">
        <v>46</v>
      </c>
      <c r="G46" s="22">
        <v>2004</v>
      </c>
      <c r="H46" s="22" t="s">
        <v>105</v>
      </c>
      <c r="I46" s="23">
        <v>40148</v>
      </c>
      <c r="J46" s="22" t="s">
        <v>132</v>
      </c>
    </row>
    <row r="47" spans="2:10">
      <c r="B47" s="43" t="s">
        <v>147</v>
      </c>
      <c r="C47" s="22">
        <v>60</v>
      </c>
      <c r="D47" s="22">
        <v>80</v>
      </c>
      <c r="E47" s="22">
        <f t="shared" si="0"/>
        <v>140</v>
      </c>
      <c r="F47" s="22" t="s">
        <v>46</v>
      </c>
      <c r="G47" s="22">
        <v>2004</v>
      </c>
      <c r="H47" s="22" t="s">
        <v>105</v>
      </c>
      <c r="I47" s="23">
        <v>39814</v>
      </c>
      <c r="J47" s="22" t="s">
        <v>134</v>
      </c>
    </row>
    <row r="48" spans="2:10">
      <c r="B48" s="43" t="s">
        <v>148</v>
      </c>
      <c r="C48" s="22">
        <v>70</v>
      </c>
      <c r="D48" s="22">
        <v>70</v>
      </c>
      <c r="E48" s="22">
        <f t="shared" si="0"/>
        <v>140</v>
      </c>
      <c r="F48" s="22" t="s">
        <v>46</v>
      </c>
      <c r="G48" s="22">
        <v>2003</v>
      </c>
      <c r="H48" s="22" t="s">
        <v>105</v>
      </c>
      <c r="I48" s="23">
        <v>40544</v>
      </c>
      <c r="J48" s="22" t="s">
        <v>136</v>
      </c>
    </row>
    <row r="49" spans="2:10">
      <c r="B49" s="43" t="s">
        <v>97</v>
      </c>
      <c r="C49" s="22">
        <v>75</v>
      </c>
      <c r="D49" s="22">
        <v>85</v>
      </c>
      <c r="E49" s="22">
        <f t="shared" si="0"/>
        <v>160</v>
      </c>
      <c r="F49" s="22" t="s">
        <v>49</v>
      </c>
      <c r="G49" s="22">
        <v>2004</v>
      </c>
      <c r="H49" s="22" t="s">
        <v>105</v>
      </c>
      <c r="I49" s="23">
        <v>40544</v>
      </c>
      <c r="J49" s="22" t="s">
        <v>138</v>
      </c>
    </row>
    <row r="50" spans="2:10">
      <c r="B50" s="43" t="s">
        <v>99</v>
      </c>
      <c r="C50" s="22">
        <v>85</v>
      </c>
      <c r="D50" s="22">
        <v>95</v>
      </c>
      <c r="E50" s="22">
        <f t="shared" si="0"/>
        <v>180</v>
      </c>
      <c r="F50" s="22" t="s">
        <v>56</v>
      </c>
      <c r="G50" s="22">
        <v>2004</v>
      </c>
      <c r="H50" s="22" t="s">
        <v>105</v>
      </c>
      <c r="I50" s="23">
        <v>40179</v>
      </c>
      <c r="J50" s="22" t="s">
        <v>139</v>
      </c>
    </row>
    <row r="51" spans="2:10">
      <c r="B51" s="43" t="s">
        <v>101</v>
      </c>
      <c r="C51" s="22">
        <v>95</v>
      </c>
      <c r="D51" s="22">
        <v>60</v>
      </c>
      <c r="E51" s="22">
        <f t="shared" si="0"/>
        <v>155</v>
      </c>
      <c r="F51" s="22" t="s">
        <v>46</v>
      </c>
      <c r="G51" s="22">
        <v>2004</v>
      </c>
      <c r="H51" s="22" t="s">
        <v>105</v>
      </c>
      <c r="I51" s="23">
        <v>40330</v>
      </c>
      <c r="J51" s="22" t="s">
        <v>140</v>
      </c>
    </row>
  </sheetData>
  <sheetProtection sheet="1" objects="1" scenarios="1"/>
  <phoneticPr fontId="1" type="noConversion"/>
  <pageMargins left="0.70866141732283472" right="0.70866141732283472" top="0.74803149606299213" bottom="0.74803149606299213" header="0.31496062992125984" footer="0.31496062992125984"/>
  <pageSetup paperSize="9" scale="8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8"/>
  <sheetViews>
    <sheetView workbookViewId="0">
      <selection activeCell="G6" sqref="G6"/>
    </sheetView>
  </sheetViews>
  <sheetFormatPr defaultRowHeight="16.5"/>
  <cols>
    <col min="1" max="1" width="9" customWidth="1"/>
    <col min="4" max="4" width="13.625" customWidth="1"/>
    <col min="5" max="5" width="12.375" customWidth="1"/>
    <col min="6" max="6" width="12" customWidth="1"/>
    <col min="7" max="7" width="13.125" customWidth="1"/>
    <col min="8" max="9" width="9" customWidth="1"/>
    <col min="10" max="10" width="13.375" customWidth="1"/>
    <col min="11" max="11" width="20.75" customWidth="1"/>
    <col min="12" max="12" width="17.125" customWidth="1"/>
    <col min="13" max="13" width="17.875" customWidth="1"/>
    <col min="14" max="14" width="16.125" customWidth="1"/>
    <col min="17" max="17" width="14.125" customWidth="1"/>
    <col min="18" max="19" width="13.75" customWidth="1"/>
    <col min="20" max="20" width="16.75" customWidth="1"/>
  </cols>
  <sheetData>
    <row r="2" spans="2:16">
      <c r="B2" t="s">
        <v>197</v>
      </c>
      <c r="J2" t="s">
        <v>196</v>
      </c>
    </row>
    <row r="3" spans="2:16">
      <c r="B3" s="11" t="s">
        <v>149</v>
      </c>
      <c r="C3" s="2" t="s">
        <v>150</v>
      </c>
      <c r="D3" s="2" t="s">
        <v>152</v>
      </c>
      <c r="E3" s="3" t="s">
        <v>151</v>
      </c>
      <c r="G3" t="s">
        <v>388</v>
      </c>
      <c r="J3" s="11" t="s">
        <v>182</v>
      </c>
      <c r="K3" s="11" t="s">
        <v>194</v>
      </c>
      <c r="L3" s="11" t="s">
        <v>170</v>
      </c>
      <c r="M3" s="11" t="s">
        <v>174</v>
      </c>
      <c r="N3" s="12" t="s">
        <v>195</v>
      </c>
    </row>
    <row r="4" spans="2:16">
      <c r="B4" s="11">
        <v>1</v>
      </c>
      <c r="C4" s="2" t="s">
        <v>21</v>
      </c>
      <c r="D4" s="45" t="s">
        <v>387</v>
      </c>
      <c r="E4" s="11" t="str">
        <f>CONCATENATE(TRIM(D4),"박 / ",TRIM(D4)+1)&amp;"일"</f>
        <v>2박 / 3일</v>
      </c>
      <c r="G4" t="str">
        <f>TRIM(D4)&amp;CONCATENATE("박 / ",TRIM(D4)+1, "일")</f>
        <v>2박 / 3일</v>
      </c>
      <c r="J4" s="11" t="s">
        <v>183</v>
      </c>
      <c r="K4" s="11" t="s">
        <v>171</v>
      </c>
      <c r="L4" s="1">
        <v>8.6999999999999993</v>
      </c>
      <c r="M4" s="1" t="s">
        <v>175</v>
      </c>
      <c r="N4" s="1" t="str">
        <f>IFERROR(LEFT(M4,FIND(",",M4)-1),M4)</f>
        <v>설경수</v>
      </c>
    </row>
    <row r="5" spans="2:16">
      <c r="B5" s="11">
        <v>2</v>
      </c>
      <c r="C5" s="2" t="s">
        <v>22</v>
      </c>
      <c r="D5" s="46" t="s">
        <v>220</v>
      </c>
      <c r="E5" s="11" t="str">
        <f t="shared" ref="E5:E13" si="0">CONCATENATE(TRIM(D5),"박 / ",TRIM(D5)+1)&amp;"일"</f>
        <v>4박 / 5일</v>
      </c>
      <c r="J5" s="11" t="s">
        <v>184</v>
      </c>
      <c r="K5" s="11" t="s">
        <v>172</v>
      </c>
      <c r="L5" s="1">
        <v>5.4</v>
      </c>
      <c r="M5" s="1" t="s">
        <v>225</v>
      </c>
      <c r="N5" s="1" t="str">
        <f t="shared" ref="N5:N13" si="1">IFERROR(LEFT(M5,FIND(",",M5)-1),M5)</f>
        <v>이효영와 트위스터</v>
      </c>
    </row>
    <row r="6" spans="2:16">
      <c r="B6" s="11">
        <v>3</v>
      </c>
      <c r="C6" s="2" t="s">
        <v>23</v>
      </c>
      <c r="D6" s="46" t="s">
        <v>221</v>
      </c>
      <c r="E6" s="11" t="str">
        <f t="shared" si="0"/>
        <v>3박 / 4일</v>
      </c>
      <c r="G6" t="str">
        <f>CONCATENATE(TRIM(D4),"박 / ",D4+1)&amp;"일"</f>
        <v>2박 / 3일</v>
      </c>
      <c r="H6" s="84"/>
      <c r="J6" s="11" t="s">
        <v>185</v>
      </c>
      <c r="K6" s="11" t="s">
        <v>173</v>
      </c>
      <c r="L6" s="1">
        <v>9.5500000000000007</v>
      </c>
      <c r="M6" s="1" t="s">
        <v>176</v>
      </c>
      <c r="N6" s="1" t="str">
        <f t="shared" si="1"/>
        <v>이경구</v>
      </c>
    </row>
    <row r="7" spans="2:16">
      <c r="B7" s="11">
        <v>4</v>
      </c>
      <c r="C7" s="2" t="s">
        <v>24</v>
      </c>
      <c r="D7" s="46">
        <v>1</v>
      </c>
      <c r="E7" s="11" t="str">
        <f t="shared" si="0"/>
        <v>1박 / 2일</v>
      </c>
      <c r="H7" s="48"/>
      <c r="J7" s="11" t="s">
        <v>186</v>
      </c>
      <c r="K7" s="11" t="s">
        <v>172</v>
      </c>
      <c r="L7" s="1">
        <v>7.8</v>
      </c>
      <c r="M7" s="31" t="s">
        <v>177</v>
      </c>
      <c r="N7" s="1" t="str">
        <f t="shared" si="1"/>
        <v>박정진</v>
      </c>
    </row>
    <row r="8" spans="2:16">
      <c r="B8" s="11">
        <v>5</v>
      </c>
      <c r="C8" s="2" t="s">
        <v>25</v>
      </c>
      <c r="D8" s="46" t="s">
        <v>222</v>
      </c>
      <c r="E8" s="11" t="str">
        <f t="shared" si="0"/>
        <v>2박 / 3일</v>
      </c>
      <c r="H8" s="48"/>
      <c r="J8" s="11" t="s">
        <v>187</v>
      </c>
      <c r="K8" s="11" t="s">
        <v>173</v>
      </c>
      <c r="L8" s="1">
        <v>8.85</v>
      </c>
      <c r="M8" s="31" t="s">
        <v>178</v>
      </c>
      <c r="N8" s="1" t="str">
        <f t="shared" si="1"/>
        <v>최수정</v>
      </c>
    </row>
    <row r="9" spans="2:16">
      <c r="B9" s="11">
        <v>6</v>
      </c>
      <c r="C9" s="2" t="s">
        <v>26</v>
      </c>
      <c r="D9" s="46">
        <v>3</v>
      </c>
      <c r="E9" s="11" t="str">
        <f t="shared" si="0"/>
        <v>3박 / 4일</v>
      </c>
      <c r="J9" s="11" t="s">
        <v>188</v>
      </c>
      <c r="K9" s="11" t="s">
        <v>171</v>
      </c>
      <c r="L9" s="1">
        <v>9.91</v>
      </c>
      <c r="M9" s="31" t="s">
        <v>179</v>
      </c>
      <c r="N9" s="1" t="str">
        <f t="shared" si="1"/>
        <v>이도현</v>
      </c>
    </row>
    <row r="10" spans="2:16">
      <c r="B10" s="11">
        <v>7</v>
      </c>
      <c r="C10" s="2" t="s">
        <v>27</v>
      </c>
      <c r="D10" s="46">
        <v>4</v>
      </c>
      <c r="E10" s="11" t="str">
        <f t="shared" si="0"/>
        <v>4박 / 5일</v>
      </c>
      <c r="J10" s="11" t="s">
        <v>189</v>
      </c>
      <c r="K10" s="11" t="s">
        <v>171</v>
      </c>
      <c r="L10" s="1">
        <v>7.65</v>
      </c>
      <c r="M10" s="31" t="s">
        <v>180</v>
      </c>
      <c r="N10" s="1" t="str">
        <f t="shared" si="1"/>
        <v>윤수민</v>
      </c>
    </row>
    <row r="11" spans="2:16">
      <c r="B11" s="11">
        <v>8</v>
      </c>
      <c r="C11" s="2" t="s">
        <v>28</v>
      </c>
      <c r="D11" s="46" t="s">
        <v>223</v>
      </c>
      <c r="E11" s="11" t="str">
        <f t="shared" si="0"/>
        <v>3박 / 4일</v>
      </c>
      <c r="J11" s="11" t="s">
        <v>190</v>
      </c>
      <c r="K11" s="11" t="s">
        <v>173</v>
      </c>
      <c r="L11" s="1">
        <v>6.5</v>
      </c>
      <c r="M11" s="31" t="s">
        <v>226</v>
      </c>
      <c r="N11" s="1" t="str">
        <f t="shared" si="1"/>
        <v>한미우</v>
      </c>
    </row>
    <row r="12" spans="2:16" hidden="1">
      <c r="B12" s="11">
        <v>9</v>
      </c>
      <c r="C12" s="2" t="s">
        <v>29</v>
      </c>
      <c r="D12" s="46">
        <v>1</v>
      </c>
      <c r="E12" s="11" t="str">
        <f t="shared" si="0"/>
        <v>1박 / 2일</v>
      </c>
      <c r="J12" s="11" t="s">
        <v>191</v>
      </c>
      <c r="K12" s="11" t="s">
        <v>172</v>
      </c>
      <c r="L12" s="1">
        <v>7.8</v>
      </c>
      <c r="M12" s="31" t="s">
        <v>181</v>
      </c>
      <c r="N12" s="1" t="str">
        <f t="shared" si="1"/>
        <v>안은미</v>
      </c>
    </row>
    <row r="13" spans="2:16">
      <c r="B13" s="11">
        <v>10</v>
      </c>
      <c r="C13" s="2" t="s">
        <v>30</v>
      </c>
      <c r="D13" s="46">
        <v>2</v>
      </c>
      <c r="E13" s="11" t="str">
        <f t="shared" si="0"/>
        <v>2박 / 3일</v>
      </c>
      <c r="J13" s="11" t="s">
        <v>192</v>
      </c>
      <c r="K13" s="11" t="s">
        <v>172</v>
      </c>
      <c r="L13" s="1">
        <v>8.8119999999999994</v>
      </c>
      <c r="M13" s="31" t="s">
        <v>193</v>
      </c>
      <c r="N13" s="1" t="str">
        <f t="shared" si="1"/>
        <v>정태수</v>
      </c>
    </row>
    <row r="15" spans="2:16">
      <c r="D15" s="47"/>
      <c r="E15" s="48"/>
      <c r="J15" t="s">
        <v>202</v>
      </c>
    </row>
    <row r="16" spans="2:16">
      <c r="J16" s="11"/>
      <c r="K16" s="11" t="s">
        <v>198</v>
      </c>
      <c r="L16" s="11" t="s">
        <v>199</v>
      </c>
      <c r="M16" s="11" t="s">
        <v>201</v>
      </c>
      <c r="N16" s="11" t="s">
        <v>200</v>
      </c>
      <c r="P16" s="51" t="s">
        <v>227</v>
      </c>
    </row>
    <row r="17" spans="2:19">
      <c r="B17" s="24" t="s">
        <v>153</v>
      </c>
      <c r="J17" s="32">
        <v>1</v>
      </c>
      <c r="K17" s="12">
        <f t="array" ref="K17">IF(ISERROR(ROUND(LARGE(IF($K$4:$K$13=K$16,$L$4:$L$13),$J17),1))=TRUE,"없음",ROUND(LARGE(IF($K$4:$K$13=K$16,$L$4:$L$13),$J17),1))</f>
        <v>8.8000000000000007</v>
      </c>
      <c r="L17" s="12">
        <f t="array" ref="L17">IF(ISERROR(ROUND(LARGE(IF($K$4:$K$13=L$16,$L$4:$L$13),$J17),1))=TRUE,"없음",ROUND(LARGE(IF($K$4:$K$13=L$16,$L$4:$L$13),$J17),1))</f>
        <v>9.6</v>
      </c>
      <c r="M17" s="12" t="str">
        <f t="array" ref="M17">IF(ISERROR(ROUND(LARGE(IF($K$4:$K$13=M$16,$L$4:$L$13),$J17),1))=TRUE,"없음",ROUND(LARGE(IF($K$4:$K$13=M$16,$L$4:$L$13),$J17),1))</f>
        <v>없음</v>
      </c>
      <c r="N17" s="12">
        <f t="array" ref="N17">IF(ISERROR(ROUND(LARGE(IF($K$4:$K$13=N$16,$L$4:$L$13),$J17),1))=TRUE,"없음",ROUND(LARGE(IF($K$4:$K$13=N$16,$L$4:$L$13),$J17),1))</f>
        <v>9.9</v>
      </c>
      <c r="P17" s="50">
        <f t="array" ref="P17">IFERROR(ROUND(LARGE(IF($K$4:$K$13=K$16,$L$4:$L$13),$J17),1),"없음")</f>
        <v>8.8000000000000007</v>
      </c>
      <c r="Q17" s="50">
        <f t="array" ref="Q17">IFERROR(ROUND(LARGE(IF($K$4:$K$13=L$16,$L$4:$L$13),$J17),1),"없음")</f>
        <v>9.6</v>
      </c>
      <c r="R17" s="50" t="str">
        <f t="array" ref="R17">IFERROR(ROUND(LARGE(IF($K$4:$K$13=M$16,$L$4:$L$13),$J17),1),"없음")</f>
        <v>없음</v>
      </c>
      <c r="S17" s="50">
        <f t="array" ref="S17">IFERROR(ROUND(LARGE(IF($K$4:$K$13=N$16,$L$4:$L$13),$J17),1),"없음")</f>
        <v>9.9</v>
      </c>
    </row>
    <row r="18" spans="2:19">
      <c r="B18" s="11" t="s">
        <v>149</v>
      </c>
      <c r="C18" s="11" t="s">
        <v>162</v>
      </c>
      <c r="D18" s="11" t="s">
        <v>154</v>
      </c>
      <c r="E18" s="11" t="s">
        <v>163</v>
      </c>
      <c r="F18" s="11" t="s">
        <v>164</v>
      </c>
      <c r="G18" s="3" t="s">
        <v>165</v>
      </c>
      <c r="H18" s="49" t="s">
        <v>224</v>
      </c>
      <c r="J18" s="32">
        <v>2</v>
      </c>
      <c r="K18" s="12">
        <f t="array" ref="K18">IF(ISERROR(ROUND(LARGE(IF($K$4:$K$13=K$16,$L$4:$L$13),$J18),1))=TRUE,"없음",ROUND(LARGE(IF($K$4:$K$13=K$16,$L$4:$L$13),$J18),1))</f>
        <v>7.8</v>
      </c>
      <c r="L18" s="12">
        <f t="array" ref="L18">IF(ISERROR(ROUND(LARGE(IF($K$4:$K$13=L$16,$L$4:$L$13),$J18),1))=TRUE,"없음",ROUND(LARGE(IF($K$4:$K$13=L$16,$L$4:$L$13),$J18),1))</f>
        <v>8.9</v>
      </c>
      <c r="M18" s="12" t="str">
        <f t="array" ref="M18">IF(ISERROR(ROUND(LARGE(IF($K$4:$K$13=M$16,$L$4:$L$13),$J18),1))=TRUE,"없음",ROUND(LARGE(IF($K$4:$K$13=M$16,$L$4:$L$13),$J18),1))</f>
        <v>없음</v>
      </c>
      <c r="N18" s="12">
        <f t="array" ref="N18">IF(ISERROR(ROUND(LARGE(IF($K$4:$K$13=N$16,$L$4:$L$13),$J18),1))=TRUE,"없음",ROUND(LARGE(IF($K$4:$K$13=N$16,$L$4:$L$13),$J18),1))</f>
        <v>8.6999999999999993</v>
      </c>
      <c r="P18" s="50">
        <f t="array" ref="P18">IFERROR(ROUND(LARGE(IF($K$4:$K$13=K$16,$L$4:$L$13),$J18),1),"없음")</f>
        <v>7.8</v>
      </c>
      <c r="Q18" s="50">
        <f t="array" ref="Q18">IFERROR(ROUND(LARGE(IF($K$4:$K$13=L$16,$L$4:$L$13),$J18),1),"없음")</f>
        <v>8.9</v>
      </c>
      <c r="R18" s="50" t="str">
        <f t="array" ref="R18">IFERROR(ROUND(LARGE(IF($K$4:$K$13=M$16,$L$4:$L$13),$J18),1),"없음")</f>
        <v>없음</v>
      </c>
      <c r="S18" s="50">
        <f t="array" ref="S18">IFERROR(ROUND(LARGE(IF($K$4:$K$13=N$16,$L$4:$L$13),$J18),1),"없음")</f>
        <v>8.6999999999999993</v>
      </c>
    </row>
    <row r="19" spans="2:19">
      <c r="B19" s="11">
        <v>1</v>
      </c>
      <c r="C19" s="9" t="s">
        <v>1</v>
      </c>
      <c r="D19" s="25" t="s">
        <v>155</v>
      </c>
      <c r="E19" s="26">
        <v>41642</v>
      </c>
      <c r="F19" s="27">
        <v>70000</v>
      </c>
      <c r="G19" s="1">
        <f>F19*(1-INDEX($C$36:$E$38,MATCH(D19,$B$36:$B$38,0),MATCH(YEAR(E19),$C$35:$E$35,-1)))</f>
        <v>63000</v>
      </c>
      <c r="H19">
        <f>F19*(1-INDEX($B$35:$E$38,MATCH(D19,$B$35:$B$38,0),MATCH(YEAR(E19),$B$35:$E$35,-1)))</f>
        <v>63000</v>
      </c>
      <c r="J19" s="32">
        <v>3</v>
      </c>
      <c r="K19" s="12">
        <f t="array" ref="K19">IF(ISERROR(ROUND(LARGE(IF($K$4:$K$13=K$16,$L$4:$L$13),$J19),1))=TRUE,"없음",ROUND(LARGE(IF($K$4:$K$13=K$16,$L$4:$L$13),$J19),1))</f>
        <v>7.8</v>
      </c>
      <c r="L19" s="12">
        <f t="array" ref="L19">IF(ISERROR(ROUND(LARGE(IF($K$4:$K$13=L$16,$L$4:$L$13),$J19),1))=TRUE,"없음",ROUND(LARGE(IF($K$4:$K$13=L$16,$L$4:$L$13),$J19),1))</f>
        <v>6.5</v>
      </c>
      <c r="M19" s="12" t="str">
        <f t="array" ref="M19">IF(ISERROR(ROUND(LARGE(IF($K$4:$K$13=M$16,$L$4:$L$13),$J19),1))=TRUE,"없음",ROUND(LARGE(IF($K$4:$K$13=M$16,$L$4:$L$13),$J19),1))</f>
        <v>없음</v>
      </c>
      <c r="N19" s="12">
        <f t="array" ref="N19">IF(ISERROR(ROUND(LARGE(IF($K$4:$K$13=N$16,$L$4:$L$13),$J19),1))=TRUE,"없음",ROUND(LARGE(IF($K$4:$K$13=N$16,$L$4:$L$13),$J19),1))</f>
        <v>7.7</v>
      </c>
      <c r="P19" s="50">
        <f t="array" ref="P19">IFERROR(ROUND(LARGE(IF($K$4:$K$13=K$16,$L$4:$L$13),$J19),1),"없음")</f>
        <v>7.8</v>
      </c>
      <c r="Q19" s="50">
        <f t="array" ref="Q19">IFERROR(ROUND(LARGE(IF($K$4:$K$13=L$16,$L$4:$L$13),$J19),1),"없음")</f>
        <v>6.5</v>
      </c>
      <c r="R19" s="50" t="str">
        <f t="array" ref="R19">IFERROR(ROUND(LARGE(IF($K$4:$K$13=M$16,$L$4:$L$13),$J19),1),"없음")</f>
        <v>없음</v>
      </c>
      <c r="S19" s="50">
        <f t="array" ref="S19">IFERROR(ROUND(LARGE(IF($K$4:$K$13=N$16,$L$4:$L$13),$J19),1),"없음")</f>
        <v>7.7</v>
      </c>
    </row>
    <row r="20" spans="2:19">
      <c r="B20" s="11">
        <v>2</v>
      </c>
      <c r="C20" s="9" t="s">
        <v>2</v>
      </c>
      <c r="D20" s="25" t="s">
        <v>156</v>
      </c>
      <c r="E20" s="26">
        <v>42372</v>
      </c>
      <c r="F20" s="27">
        <v>70000</v>
      </c>
      <c r="G20" s="1">
        <f t="shared" ref="G20:G32" si="2">F20*(1-INDEX($C$36:$E$38,MATCH(D20,$B$36:$B$38,0),MATCH(YEAR(E20),$C$35:$E$35,-1)))</f>
        <v>42000</v>
      </c>
      <c r="H20">
        <f t="shared" ref="H20:H32" si="3">F20*(1-INDEX($B$35:$E$38,MATCH(D20,$B$35:$B$38,0),MATCH(YEAR(E20),$B$35:$E$35,-1)))</f>
        <v>42000</v>
      </c>
    </row>
    <row r="21" spans="2:19">
      <c r="B21" s="11">
        <v>3</v>
      </c>
      <c r="C21" s="9" t="s">
        <v>3</v>
      </c>
      <c r="D21" s="25" t="s">
        <v>157</v>
      </c>
      <c r="E21" s="26">
        <v>42738</v>
      </c>
      <c r="F21" s="27">
        <v>70000</v>
      </c>
      <c r="G21" s="1">
        <f t="shared" si="2"/>
        <v>63000</v>
      </c>
      <c r="H21">
        <f t="shared" si="3"/>
        <v>63000</v>
      </c>
    </row>
    <row r="22" spans="2:19">
      <c r="B22" s="11">
        <v>4</v>
      </c>
      <c r="C22" s="9" t="s">
        <v>4</v>
      </c>
      <c r="D22" s="25" t="s">
        <v>155</v>
      </c>
      <c r="E22" s="26">
        <v>42007</v>
      </c>
      <c r="F22" s="27">
        <v>150000</v>
      </c>
      <c r="G22" s="1">
        <f t="shared" si="2"/>
        <v>135000</v>
      </c>
      <c r="H22">
        <f t="shared" si="3"/>
        <v>135000</v>
      </c>
    </row>
    <row r="23" spans="2:19">
      <c r="B23" s="11">
        <v>5</v>
      </c>
      <c r="C23" s="9" t="s">
        <v>158</v>
      </c>
      <c r="D23" s="25" t="s">
        <v>156</v>
      </c>
      <c r="E23" s="26">
        <v>42372</v>
      </c>
      <c r="F23" s="27">
        <v>150000</v>
      </c>
      <c r="G23" s="1">
        <f t="shared" si="2"/>
        <v>90000</v>
      </c>
      <c r="H23">
        <f t="shared" si="3"/>
        <v>90000</v>
      </c>
      <c r="J23" t="s">
        <v>217</v>
      </c>
    </row>
    <row r="24" spans="2:19">
      <c r="B24" s="11">
        <v>6</v>
      </c>
      <c r="C24" s="9" t="s">
        <v>159</v>
      </c>
      <c r="D24" s="25" t="s">
        <v>157</v>
      </c>
      <c r="E24" s="26">
        <v>42007</v>
      </c>
      <c r="F24" s="27">
        <v>100000</v>
      </c>
      <c r="G24" s="1">
        <f t="shared" si="2"/>
        <v>80000</v>
      </c>
      <c r="H24">
        <f t="shared" si="3"/>
        <v>80000</v>
      </c>
      <c r="J24" s="15" t="s">
        <v>214</v>
      </c>
      <c r="K24" s="38" t="s">
        <v>203</v>
      </c>
      <c r="L24" s="37" t="s">
        <v>218</v>
      </c>
      <c r="M24" s="12" t="s">
        <v>215</v>
      </c>
    </row>
    <row r="25" spans="2:19">
      <c r="B25" s="11">
        <v>7</v>
      </c>
      <c r="C25" s="9" t="s">
        <v>7</v>
      </c>
      <c r="D25" s="25" t="s">
        <v>156</v>
      </c>
      <c r="E25" s="26">
        <v>42372</v>
      </c>
      <c r="F25" s="27">
        <v>100000</v>
      </c>
      <c r="G25" s="1">
        <f t="shared" si="2"/>
        <v>60000</v>
      </c>
      <c r="H25">
        <f t="shared" si="3"/>
        <v>60000</v>
      </c>
      <c r="J25" s="11">
        <v>1</v>
      </c>
      <c r="K25" s="35" t="s">
        <v>204</v>
      </c>
      <c r="L25" s="36">
        <v>42895</v>
      </c>
      <c r="M25" s="26" t="str">
        <f>fn비고(L25,$L$36)</f>
        <v>신간</v>
      </c>
    </row>
    <row r="26" spans="2:19">
      <c r="B26" s="11">
        <v>8</v>
      </c>
      <c r="C26" s="9" t="s">
        <v>160</v>
      </c>
      <c r="D26" s="25" t="s">
        <v>157</v>
      </c>
      <c r="E26" s="26">
        <v>42738</v>
      </c>
      <c r="F26" s="27">
        <v>120000</v>
      </c>
      <c r="G26" s="1">
        <f t="shared" si="2"/>
        <v>108000</v>
      </c>
      <c r="H26">
        <f t="shared" si="3"/>
        <v>108000</v>
      </c>
      <c r="J26" s="11">
        <v>2</v>
      </c>
      <c r="K26" s="35" t="s">
        <v>205</v>
      </c>
      <c r="L26" s="36">
        <v>42830</v>
      </c>
      <c r="M26" s="26" t="str">
        <f t="shared" ref="M26:M34" si="4">fn비고(L26,$L$36)</f>
        <v>신간</v>
      </c>
    </row>
    <row r="27" spans="2:19">
      <c r="B27" s="11">
        <v>9</v>
      </c>
      <c r="C27" s="9" t="s">
        <v>161</v>
      </c>
      <c r="D27" s="25" t="s">
        <v>156</v>
      </c>
      <c r="E27" s="26">
        <v>42007</v>
      </c>
      <c r="F27" s="27">
        <v>70000</v>
      </c>
      <c r="G27" s="1">
        <f t="shared" si="2"/>
        <v>56000</v>
      </c>
      <c r="H27">
        <f t="shared" si="3"/>
        <v>56000</v>
      </c>
      <c r="J27" s="11">
        <v>3</v>
      </c>
      <c r="K27" s="35" t="s">
        <v>206</v>
      </c>
      <c r="L27" s="36">
        <v>42862</v>
      </c>
      <c r="M27" s="26" t="str">
        <f t="shared" si="4"/>
        <v>신간</v>
      </c>
    </row>
    <row r="28" spans="2:19">
      <c r="B28" s="11">
        <v>10</v>
      </c>
      <c r="C28" s="9" t="s">
        <v>10</v>
      </c>
      <c r="D28" s="25" t="s">
        <v>156</v>
      </c>
      <c r="E28" s="26">
        <v>42372</v>
      </c>
      <c r="F28" s="27">
        <v>70000</v>
      </c>
      <c r="G28" s="1">
        <f t="shared" si="2"/>
        <v>42000</v>
      </c>
      <c r="H28">
        <f t="shared" si="3"/>
        <v>42000</v>
      </c>
      <c r="J28" s="11">
        <v>4</v>
      </c>
      <c r="K28" s="35" t="s">
        <v>207</v>
      </c>
      <c r="L28" s="36">
        <v>42771</v>
      </c>
      <c r="M28" s="26" t="str">
        <f t="shared" si="4"/>
        <v>신간</v>
      </c>
    </row>
    <row r="29" spans="2:19">
      <c r="B29" s="11">
        <v>11</v>
      </c>
      <c r="C29" s="9" t="s">
        <v>11</v>
      </c>
      <c r="D29" s="25" t="s">
        <v>157</v>
      </c>
      <c r="E29" s="26">
        <v>42738</v>
      </c>
      <c r="F29" s="27">
        <v>70000</v>
      </c>
      <c r="G29" s="1">
        <f t="shared" si="2"/>
        <v>63000</v>
      </c>
      <c r="H29">
        <f t="shared" si="3"/>
        <v>63000</v>
      </c>
      <c r="J29" s="11">
        <v>5</v>
      </c>
      <c r="K29" s="35" t="s">
        <v>213</v>
      </c>
      <c r="L29" s="36">
        <v>42464</v>
      </c>
      <c r="M29" s="26" t="str">
        <f t="shared" si="4"/>
        <v/>
      </c>
    </row>
    <row r="30" spans="2:19">
      <c r="B30" s="11">
        <v>12</v>
      </c>
      <c r="C30" s="9" t="s">
        <v>12</v>
      </c>
      <c r="D30" s="25" t="s">
        <v>155</v>
      </c>
      <c r="E30" s="26">
        <v>42007</v>
      </c>
      <c r="F30" s="27">
        <v>70000</v>
      </c>
      <c r="G30" s="1">
        <f t="shared" si="2"/>
        <v>63000</v>
      </c>
      <c r="H30">
        <f t="shared" si="3"/>
        <v>63000</v>
      </c>
      <c r="J30" s="11">
        <v>6</v>
      </c>
      <c r="K30" s="35" t="s">
        <v>208</v>
      </c>
      <c r="L30" s="36">
        <v>42107</v>
      </c>
      <c r="M30" s="26" t="str">
        <f t="shared" si="4"/>
        <v/>
      </c>
    </row>
    <row r="31" spans="2:19">
      <c r="B31" s="11">
        <v>13</v>
      </c>
      <c r="C31" s="9" t="s">
        <v>13</v>
      </c>
      <c r="D31" s="25" t="s">
        <v>157</v>
      </c>
      <c r="E31" s="26">
        <v>42372</v>
      </c>
      <c r="F31" s="27">
        <v>100000</v>
      </c>
      <c r="G31" s="1">
        <f t="shared" si="2"/>
        <v>70000</v>
      </c>
      <c r="H31">
        <f t="shared" si="3"/>
        <v>70000</v>
      </c>
      <c r="J31" s="11">
        <v>7</v>
      </c>
      <c r="K31" s="35" t="s">
        <v>209</v>
      </c>
      <c r="L31" s="36">
        <v>42860</v>
      </c>
      <c r="M31" s="26" t="str">
        <f t="shared" si="4"/>
        <v>신간</v>
      </c>
    </row>
    <row r="32" spans="2:19">
      <c r="B32" s="11">
        <v>14</v>
      </c>
      <c r="C32" s="9" t="s">
        <v>14</v>
      </c>
      <c r="D32" s="25" t="s">
        <v>155</v>
      </c>
      <c r="E32" s="26">
        <v>42738</v>
      </c>
      <c r="F32" s="27">
        <v>150000</v>
      </c>
      <c r="G32" s="1">
        <f t="shared" si="2"/>
        <v>112500</v>
      </c>
      <c r="H32">
        <f t="shared" si="3"/>
        <v>112500</v>
      </c>
      <c r="J32" s="11">
        <v>8</v>
      </c>
      <c r="K32" s="35" t="s">
        <v>210</v>
      </c>
      <c r="L32" s="36">
        <v>42845</v>
      </c>
      <c r="M32" s="26" t="str">
        <f t="shared" si="4"/>
        <v>신간</v>
      </c>
    </row>
    <row r="33" spans="2:13">
      <c r="J33" s="11">
        <v>9</v>
      </c>
      <c r="K33" s="35" t="s">
        <v>211</v>
      </c>
      <c r="L33" s="36">
        <v>41736</v>
      </c>
      <c r="M33" s="26" t="str">
        <f t="shared" si="4"/>
        <v/>
      </c>
    </row>
    <row r="34" spans="2:13">
      <c r="B34" s="24" t="s">
        <v>166</v>
      </c>
      <c r="J34" s="11">
        <v>10</v>
      </c>
      <c r="K34" s="35" t="s">
        <v>212</v>
      </c>
      <c r="L34" s="36">
        <v>42826</v>
      </c>
      <c r="M34" s="26" t="str">
        <f t="shared" si="4"/>
        <v>신간</v>
      </c>
    </row>
    <row r="35" spans="2:13">
      <c r="B35" s="28"/>
      <c r="C35" s="30">
        <v>2017</v>
      </c>
      <c r="D35" s="28">
        <v>2016</v>
      </c>
      <c r="E35" s="28">
        <v>2015</v>
      </c>
      <c r="J35" s="34"/>
    </row>
    <row r="36" spans="2:13">
      <c r="B36" s="28" t="s">
        <v>167</v>
      </c>
      <c r="C36" s="29">
        <v>0.1</v>
      </c>
      <c r="D36" s="29">
        <v>0.3</v>
      </c>
      <c r="E36" s="29">
        <v>0.2</v>
      </c>
      <c r="J36" s="40"/>
      <c r="K36" s="41" t="s">
        <v>216</v>
      </c>
      <c r="L36" s="39">
        <v>42736</v>
      </c>
    </row>
    <row r="37" spans="2:13">
      <c r="B37" s="28" t="s">
        <v>168</v>
      </c>
      <c r="C37" s="29">
        <v>0.2</v>
      </c>
      <c r="D37" s="29">
        <v>0.4</v>
      </c>
      <c r="E37" s="29">
        <v>0.2</v>
      </c>
      <c r="J37" s="33"/>
    </row>
    <row r="38" spans="2:13">
      <c r="B38" s="28" t="s">
        <v>169</v>
      </c>
      <c r="C38" s="29">
        <v>0.25</v>
      </c>
      <c r="D38" s="29">
        <v>0.15</v>
      </c>
      <c r="E38" s="29">
        <v>0.1</v>
      </c>
      <c r="J38" s="33"/>
    </row>
  </sheetData>
  <phoneticPr fontId="1" type="noConversion"/>
  <conditionalFormatting sqref="D19:D31">
    <cfRule type="expression" dxfId="17" priority="9" stopIfTrue="1">
      <formula>OR(LEN($F19)&gt;=2,DAYS360(#REF!,#REF!)&gt;=5)</formula>
    </cfRule>
  </conditionalFormatting>
  <conditionalFormatting sqref="D32">
    <cfRule type="expression" dxfId="16" priority="8" stopIfTrue="1">
      <formula>OR(LEN($F32)&gt;=2,DAYS360(#REF!,#REF!)&gt;=5)</formula>
    </cfRule>
  </conditionalFormatting>
  <conditionalFormatting sqref="E19:E32">
    <cfRule type="expression" dxfId="15" priority="7" stopIfTrue="1">
      <formula>OR(LEN($F19)&gt;=2,DAYS360(#REF!,#REF!)&gt;=5)</formula>
    </cfRule>
  </conditionalFormatting>
  <conditionalFormatting sqref="F19:F32">
    <cfRule type="expression" dxfId="14" priority="6" stopIfTrue="1">
      <formula>OR(LEN($F19)&gt;=2,DAYS360(#REF!,#REF!)&gt;=5)</formula>
    </cfRule>
  </conditionalFormatting>
  <conditionalFormatting sqref="B35:C35">
    <cfRule type="expression" dxfId="13" priority="4" stopIfTrue="1">
      <formula>OR(LEN($E35)&gt;=2,DAYS360(#REF!,#REF!)&gt;=5)</formula>
    </cfRule>
  </conditionalFormatting>
  <conditionalFormatting sqref="B34">
    <cfRule type="expression" dxfId="12" priority="5" stopIfTrue="1">
      <formula>OR(LEN(#REF!)&gt;=2,DAYS360(#REF!,#REF!)&gt;=5)</formula>
    </cfRule>
  </conditionalFormatting>
  <conditionalFormatting sqref="B38">
    <cfRule type="expression" dxfId="11" priority="1" stopIfTrue="1">
      <formula>OR(LEN($F38)&gt;=2,DAYS360(#REF!,#REF!)&gt;=5)</formula>
    </cfRule>
  </conditionalFormatting>
  <conditionalFormatting sqref="B36">
    <cfRule type="expression" dxfId="10" priority="3" stopIfTrue="1">
      <formula>OR(LEN($F36)&gt;=2,DAYS360(#REF!,#REF!)&gt;=5)</formula>
    </cfRule>
  </conditionalFormatting>
  <conditionalFormatting sqref="B37">
    <cfRule type="expression" dxfId="9" priority="2" stopIfTrue="1">
      <formula>OR(LEN($F37)&gt;=2,DAYS360(#REF!,#REF!)&gt;=5)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68"/>
  <sheetViews>
    <sheetView workbookViewId="0">
      <selection activeCell="H30" sqref="H30"/>
    </sheetView>
  </sheetViews>
  <sheetFormatPr defaultRowHeight="16.5"/>
  <cols>
    <col min="1" max="1" width="0.875" customWidth="1"/>
    <col min="3" max="3" width="9.875" customWidth="1"/>
    <col min="4" max="4" width="14.875" customWidth="1"/>
    <col min="5" max="7" width="17.125" bestFit="1" customWidth="1"/>
    <col min="8" max="8" width="14.5" customWidth="1"/>
    <col min="9" max="9" width="17.125" bestFit="1" customWidth="1"/>
    <col min="10" max="10" width="9" customWidth="1"/>
    <col min="11" max="11" width="9.25" customWidth="1"/>
    <col min="12" max="12" width="11.375" customWidth="1"/>
    <col min="16" max="16" width="15" customWidth="1"/>
  </cols>
  <sheetData>
    <row r="2" spans="2:7">
      <c r="B2" t="s">
        <v>228</v>
      </c>
    </row>
    <row r="3" spans="2:7">
      <c r="B3" s="11" t="s">
        <v>229</v>
      </c>
      <c r="C3" s="11" t="s">
        <v>230</v>
      </c>
      <c r="D3" s="11" t="s">
        <v>231</v>
      </c>
      <c r="E3" s="12" t="s">
        <v>232</v>
      </c>
    </row>
    <row r="4" spans="2:7">
      <c r="B4" s="1">
        <v>1</v>
      </c>
      <c r="C4" s="1" t="s">
        <v>233</v>
      </c>
      <c r="D4" s="52">
        <v>1000000000</v>
      </c>
      <c r="E4" s="52" t="str">
        <f>TEXT(D4*MIN(HLOOKUP(D4,$D$16:$G$21,MATCH(C4,$B$16:$B$21,0),1),HLOOKUP(D4,$D$16:$G$21,MATCH(C4,$B$16:$B$21,0)+1,1)),"#,,백만원")</f>
        <v>22백만원</v>
      </c>
      <c r="F4" t="str">
        <f>TEXT(D4*MIN(HLOOKUP(D4,$D$16:$G$21,MATCH(C4,$B$16:$B$21,0),1),HLOOKUP(D4,$D$16:$G$21,MATCH(C4,$B$16:$B$21,0)+1,1))/1000000,"#백만원")</f>
        <v>22백만원</v>
      </c>
    </row>
    <row r="5" spans="2:7">
      <c r="B5" s="1">
        <v>2</v>
      </c>
      <c r="C5" s="1" t="s">
        <v>234</v>
      </c>
      <c r="D5" s="52">
        <v>2500000000</v>
      </c>
      <c r="E5" s="52" t="str">
        <f t="shared" ref="E5:E13" si="0">TEXT(D5*MIN(HLOOKUP(D5,$D$16:$G$21,MATCH(C5,$B$16:$B$21,0),1),HLOOKUP(D5,$D$16:$G$21,MATCH(C5,$B$16:$B$21,0)+1,1)),"#,,백만원")</f>
        <v>35백만원</v>
      </c>
      <c r="F5" t="str">
        <f t="shared" ref="F5:F13" si="1">TEXT(D5*MIN(HLOOKUP(D5,$D$16:$G$21,MATCH(C5,$B$16:$B$21,0),1),HLOOKUP(D5,$D$16:$G$21,MATCH(C5,$B$16:$B$21,0)+1,1))/1000000,"#백만원")</f>
        <v>35백만원</v>
      </c>
    </row>
    <row r="6" spans="2:7">
      <c r="B6" s="1">
        <v>3</v>
      </c>
      <c r="C6" s="1" t="s">
        <v>234</v>
      </c>
      <c r="D6" s="52">
        <v>3200000000</v>
      </c>
      <c r="E6" s="52" t="str">
        <f t="shared" si="0"/>
        <v>48백만원</v>
      </c>
      <c r="F6" t="str">
        <f t="shared" si="1"/>
        <v>48백만원</v>
      </c>
    </row>
    <row r="7" spans="2:7" hidden="1">
      <c r="B7" s="1">
        <v>4</v>
      </c>
      <c r="C7" s="1" t="s">
        <v>233</v>
      </c>
      <c r="D7" s="52">
        <v>500000000</v>
      </c>
      <c r="E7" s="52" t="str">
        <f t="shared" si="0"/>
        <v>10백만원</v>
      </c>
      <c r="F7" t="str">
        <f t="shared" si="1"/>
        <v>10백만원</v>
      </c>
    </row>
    <row r="8" spans="2:7" hidden="1">
      <c r="B8" s="1">
        <v>5</v>
      </c>
      <c r="C8" s="1" t="s">
        <v>233</v>
      </c>
      <c r="D8" s="52">
        <v>3400000000</v>
      </c>
      <c r="E8" s="52" t="str">
        <f t="shared" si="0"/>
        <v>85백만원</v>
      </c>
      <c r="F8" t="str">
        <f t="shared" si="1"/>
        <v>85백만원</v>
      </c>
    </row>
    <row r="9" spans="2:7" hidden="1">
      <c r="B9" s="1">
        <v>6</v>
      </c>
      <c r="C9" s="1" t="s">
        <v>234</v>
      </c>
      <c r="D9" s="52">
        <v>2200000000</v>
      </c>
      <c r="E9" s="52" t="str">
        <f t="shared" si="0"/>
        <v>31백만원</v>
      </c>
      <c r="F9" t="str">
        <f t="shared" si="1"/>
        <v>31백만원</v>
      </c>
    </row>
    <row r="10" spans="2:7" hidden="1">
      <c r="B10" s="1">
        <v>7</v>
      </c>
      <c r="C10" s="1" t="s">
        <v>234</v>
      </c>
      <c r="D10" s="52">
        <v>1500000000</v>
      </c>
      <c r="E10" s="52" t="str">
        <f t="shared" si="0"/>
        <v>18백만원</v>
      </c>
      <c r="F10" t="str">
        <f t="shared" si="1"/>
        <v>18백만원</v>
      </c>
    </row>
    <row r="11" spans="2:7" hidden="1">
      <c r="B11" s="1">
        <v>8</v>
      </c>
      <c r="C11" s="1" t="s">
        <v>233</v>
      </c>
      <c r="D11" s="52">
        <v>4500000000</v>
      </c>
      <c r="E11" s="52" t="str">
        <f t="shared" si="0"/>
        <v>113백만원</v>
      </c>
      <c r="F11" t="str">
        <f t="shared" si="1"/>
        <v>113백만원</v>
      </c>
    </row>
    <row r="12" spans="2:7" hidden="1">
      <c r="B12" s="1">
        <v>9</v>
      </c>
      <c r="C12" s="1" t="s">
        <v>233</v>
      </c>
      <c r="D12" s="52">
        <v>3200000000</v>
      </c>
      <c r="E12" s="52" t="str">
        <f t="shared" si="0"/>
        <v>80백만원</v>
      </c>
      <c r="F12" t="str">
        <f t="shared" si="1"/>
        <v>80백만원</v>
      </c>
    </row>
    <row r="13" spans="2:7">
      <c r="B13" s="1">
        <v>10</v>
      </c>
      <c r="C13" s="1" t="s">
        <v>234</v>
      </c>
      <c r="D13" s="52">
        <v>2000000000</v>
      </c>
      <c r="E13" s="52" t="str">
        <f t="shared" si="0"/>
        <v>28백만원</v>
      </c>
      <c r="F13" t="str">
        <f t="shared" si="1"/>
        <v>28백만원</v>
      </c>
    </row>
    <row r="15" spans="2:7">
      <c r="B15" t="s">
        <v>235</v>
      </c>
    </row>
    <row r="16" spans="2:7">
      <c r="B16" s="53" t="s">
        <v>236</v>
      </c>
      <c r="C16" s="54" t="s">
        <v>237</v>
      </c>
      <c r="D16" s="55">
        <v>0</v>
      </c>
      <c r="E16" s="55">
        <v>1000000000</v>
      </c>
      <c r="F16" s="55">
        <v>2000000000</v>
      </c>
      <c r="G16" s="55">
        <v>3000000000</v>
      </c>
    </row>
    <row r="17" spans="2:9">
      <c r="B17" s="53"/>
      <c r="C17" s="54" t="s">
        <v>238</v>
      </c>
      <c r="D17" s="56">
        <v>1000000000</v>
      </c>
      <c r="E17" s="56">
        <v>2000000000</v>
      </c>
      <c r="F17" s="56">
        <v>3000000000</v>
      </c>
      <c r="G17" s="57"/>
    </row>
    <row r="18" spans="2:9">
      <c r="B18" s="1" t="s">
        <v>239</v>
      </c>
      <c r="C18" s="1" t="s">
        <v>240</v>
      </c>
      <c r="D18" s="58">
        <v>0.02</v>
      </c>
      <c r="E18" s="58">
        <v>2.1999999999999999E-2</v>
      </c>
      <c r="F18" s="58">
        <v>2.4E-2</v>
      </c>
      <c r="G18" s="58">
        <v>2.5999999999999999E-2</v>
      </c>
    </row>
    <row r="19" spans="2:9">
      <c r="B19" s="1"/>
      <c r="C19" s="1" t="s">
        <v>241</v>
      </c>
      <c r="D19" s="58">
        <v>2.5000000000000001E-2</v>
      </c>
      <c r="E19" s="58">
        <v>2.5000000000000001E-2</v>
      </c>
      <c r="F19" s="58">
        <v>2.5000000000000001E-2</v>
      </c>
      <c r="G19" s="58">
        <v>2.5000000000000001E-2</v>
      </c>
    </row>
    <row r="20" spans="2:9">
      <c r="B20" s="1" t="s">
        <v>242</v>
      </c>
      <c r="C20" s="1" t="s">
        <v>243</v>
      </c>
      <c r="D20" s="58">
        <v>0.01</v>
      </c>
      <c r="E20" s="58">
        <v>1.2E-2</v>
      </c>
      <c r="F20" s="58">
        <v>1.4E-2</v>
      </c>
      <c r="G20" s="58">
        <v>1.6E-2</v>
      </c>
    </row>
    <row r="21" spans="2:9">
      <c r="B21" s="1"/>
      <c r="C21" s="1" t="s">
        <v>241</v>
      </c>
      <c r="D21" s="58">
        <v>1.4999999999999999E-2</v>
      </c>
      <c r="E21" s="58">
        <v>1.4999999999999999E-2</v>
      </c>
      <c r="F21" s="58">
        <v>1.4999999999999999E-2</v>
      </c>
      <c r="G21" s="58">
        <v>1.4999999999999999E-2</v>
      </c>
    </row>
    <row r="26" spans="2:9">
      <c r="B26" t="s">
        <v>244</v>
      </c>
    </row>
    <row r="27" spans="2:9">
      <c r="B27" s="11" t="s">
        <v>229</v>
      </c>
      <c r="C27" s="11" t="s">
        <v>245</v>
      </c>
      <c r="D27" s="11" t="s">
        <v>246</v>
      </c>
      <c r="E27" s="11" t="s">
        <v>247</v>
      </c>
      <c r="F27" s="11" t="s">
        <v>248</v>
      </c>
      <c r="G27" s="11" t="s">
        <v>249</v>
      </c>
      <c r="H27" s="12" t="s">
        <v>250</v>
      </c>
      <c r="I27" s="12" t="s">
        <v>251</v>
      </c>
    </row>
    <row r="28" spans="2:9">
      <c r="B28" s="1">
        <v>1</v>
      </c>
      <c r="C28" s="1">
        <v>-90</v>
      </c>
      <c r="D28" s="1">
        <v>-85</v>
      </c>
      <c r="E28" s="1">
        <v>-81</v>
      </c>
      <c r="F28" s="1">
        <v>-86</v>
      </c>
      <c r="G28" s="1">
        <v>-75</v>
      </c>
      <c r="H28" s="59">
        <f>INDEX(C28:G28,1,MOD(ROW(C28),5)+1)</f>
        <v>-86</v>
      </c>
      <c r="I28" s="1" t="str">
        <f>fn판별(C28,D28,E28,F28,G28)</f>
        <v>모두 음수</v>
      </c>
    </row>
    <row r="29" spans="2:9">
      <c r="B29" s="1">
        <v>2</v>
      </c>
      <c r="C29" s="1">
        <v>45</v>
      </c>
      <c r="D29" s="1">
        <v>86</v>
      </c>
      <c r="E29" s="1">
        <v>94</v>
      </c>
      <c r="F29" s="1">
        <v>78</v>
      </c>
      <c r="G29" s="1">
        <v>86</v>
      </c>
      <c r="H29" s="59">
        <f t="shared" ref="H29:H32" si="2">INDEX(C29:G29,1,MOD(ROW(C29),5)+1)</f>
        <v>86</v>
      </c>
      <c r="I29" s="1" t="str">
        <f t="shared" ref="I29:I32" si="3">fn판별(C29,D29,E29,F29,G29)</f>
        <v/>
      </c>
    </row>
    <row r="30" spans="2:9">
      <c r="B30" s="1">
        <v>3</v>
      </c>
      <c r="C30" s="1">
        <v>69</v>
      </c>
      <c r="D30" s="1">
        <v>54</v>
      </c>
      <c r="E30" s="1">
        <v>56</v>
      </c>
      <c r="F30" s="1">
        <v>-94</v>
      </c>
      <c r="G30" s="1">
        <v>48</v>
      </c>
      <c r="H30" s="59">
        <f t="shared" si="2"/>
        <v>69</v>
      </c>
      <c r="I30" s="1" t="str">
        <f t="shared" si="3"/>
        <v>음수 있음</v>
      </c>
    </row>
    <row r="31" spans="2:9">
      <c r="B31" s="1">
        <v>4</v>
      </c>
      <c r="C31" s="1">
        <v>98</v>
      </c>
      <c r="D31" s="1">
        <v>-69</v>
      </c>
      <c r="E31" s="1">
        <v>-54</v>
      </c>
      <c r="F31" s="1">
        <v>48</v>
      </c>
      <c r="G31" s="1">
        <v>68</v>
      </c>
      <c r="H31" s="59">
        <f t="shared" si="2"/>
        <v>-69</v>
      </c>
      <c r="I31" s="1" t="str">
        <f t="shared" si="3"/>
        <v>음수 있음</v>
      </c>
    </row>
    <row r="32" spans="2:9">
      <c r="B32" s="1">
        <v>5</v>
      </c>
      <c r="C32" s="1">
        <v>58</v>
      </c>
      <c r="D32" s="1">
        <v>66</v>
      </c>
      <c r="E32" s="1">
        <v>79</v>
      </c>
      <c r="F32" s="1">
        <v>99</v>
      </c>
      <c r="G32" s="1">
        <v>71</v>
      </c>
      <c r="H32" s="59">
        <f t="shared" si="2"/>
        <v>79</v>
      </c>
      <c r="I32" s="1" t="str">
        <f t="shared" si="3"/>
        <v/>
      </c>
    </row>
    <row r="41" spans="2:9">
      <c r="B41" t="s">
        <v>252</v>
      </c>
      <c r="G41" t="s">
        <v>253</v>
      </c>
    </row>
    <row r="42" spans="2:9">
      <c r="B42" s="11" t="s">
        <v>229</v>
      </c>
      <c r="C42" s="11" t="s">
        <v>254</v>
      </c>
      <c r="D42" s="11" t="s">
        <v>255</v>
      </c>
      <c r="E42" s="12" t="s">
        <v>256</v>
      </c>
      <c r="G42" s="1" t="s">
        <v>257</v>
      </c>
      <c r="H42" s="1" t="s">
        <v>258</v>
      </c>
      <c r="I42" s="1" t="s">
        <v>259</v>
      </c>
    </row>
    <row r="43" spans="2:9">
      <c r="B43" s="60">
        <v>1</v>
      </c>
      <c r="C43" s="60" t="s">
        <v>260</v>
      </c>
      <c r="D43" s="60" t="s">
        <v>261</v>
      </c>
      <c r="E43" s="61">
        <f>VLOOKUP(C43,$G$43:$I$46,MATCH(D43,$H$42:$I$42,1)+1,0)</f>
        <v>5</v>
      </c>
      <c r="G43" s="1" t="s">
        <v>260</v>
      </c>
      <c r="H43" s="1">
        <v>5</v>
      </c>
      <c r="I43" s="1">
        <v>90</v>
      </c>
    </row>
    <row r="44" spans="2:9">
      <c r="B44" s="60">
        <v>2</v>
      </c>
      <c r="C44" s="60" t="s">
        <v>262</v>
      </c>
      <c r="D44" s="62" t="s">
        <v>263</v>
      </c>
      <c r="E44" s="61">
        <f t="shared" ref="E44:E52" si="4">VLOOKUP(C44,$G$43:$I$46,MATCH(D44,$H$42:$I$42,1)+1,0)</f>
        <v>4</v>
      </c>
      <c r="G44" s="1" t="s">
        <v>262</v>
      </c>
      <c r="H44" s="1">
        <v>4</v>
      </c>
      <c r="I44" s="1">
        <v>40</v>
      </c>
    </row>
    <row r="45" spans="2:9">
      <c r="B45" s="60">
        <v>3</v>
      </c>
      <c r="C45" s="60" t="s">
        <v>264</v>
      </c>
      <c r="D45" s="62" t="s">
        <v>265</v>
      </c>
      <c r="E45" s="61">
        <f t="shared" si="4"/>
        <v>70</v>
      </c>
      <c r="G45" s="1" t="s">
        <v>264</v>
      </c>
      <c r="H45" s="1">
        <v>3</v>
      </c>
      <c r="I45" s="1">
        <v>70</v>
      </c>
    </row>
    <row r="46" spans="2:9">
      <c r="B46" s="60">
        <v>4</v>
      </c>
      <c r="C46" s="60" t="s">
        <v>260</v>
      </c>
      <c r="D46" s="62" t="s">
        <v>266</v>
      </c>
      <c r="E46" s="61">
        <f t="shared" si="4"/>
        <v>90</v>
      </c>
      <c r="G46" s="1" t="s">
        <v>267</v>
      </c>
      <c r="H46" s="1">
        <v>2</v>
      </c>
      <c r="I46" s="1">
        <v>80</v>
      </c>
    </row>
    <row r="47" spans="2:9">
      <c r="B47" s="60">
        <v>5</v>
      </c>
      <c r="C47" s="60" t="s">
        <v>264</v>
      </c>
      <c r="D47" s="62" t="s">
        <v>263</v>
      </c>
      <c r="E47" s="61">
        <f t="shared" si="4"/>
        <v>3</v>
      </c>
    </row>
    <row r="48" spans="2:9">
      <c r="B48" s="60">
        <v>6</v>
      </c>
      <c r="C48" s="60" t="s">
        <v>267</v>
      </c>
      <c r="D48" s="62" t="s">
        <v>265</v>
      </c>
      <c r="E48" s="61">
        <f t="shared" si="4"/>
        <v>80</v>
      </c>
      <c r="G48" t="s">
        <v>284</v>
      </c>
    </row>
    <row r="49" spans="2:7">
      <c r="B49" s="60">
        <v>7</v>
      </c>
      <c r="C49" s="60" t="s">
        <v>262</v>
      </c>
      <c r="D49" s="62" t="s">
        <v>263</v>
      </c>
      <c r="E49" s="61">
        <f t="shared" si="4"/>
        <v>4</v>
      </c>
      <c r="G49">
        <f>VLOOKUP(C43,$G$43:$I$46,MATCH(D43,$G$42:$I$42,1),0)</f>
        <v>5</v>
      </c>
    </row>
    <row r="50" spans="2:7">
      <c r="B50" s="60">
        <v>8</v>
      </c>
      <c r="C50" s="60" t="s">
        <v>260</v>
      </c>
      <c r="D50" s="62" t="s">
        <v>265</v>
      </c>
      <c r="E50" s="61">
        <f t="shared" si="4"/>
        <v>90</v>
      </c>
    </row>
    <row r="51" spans="2:7">
      <c r="B51" s="60">
        <v>9</v>
      </c>
      <c r="C51" s="60" t="s">
        <v>262</v>
      </c>
      <c r="D51" s="62" t="s">
        <v>266</v>
      </c>
      <c r="E51" s="61">
        <f t="shared" si="4"/>
        <v>40</v>
      </c>
    </row>
    <row r="52" spans="2:7">
      <c r="B52" s="60">
        <v>10</v>
      </c>
      <c r="C52" s="60" t="s">
        <v>264</v>
      </c>
      <c r="D52" s="62" t="s">
        <v>263</v>
      </c>
      <c r="E52" s="61">
        <f t="shared" si="4"/>
        <v>3</v>
      </c>
    </row>
    <row r="56" spans="2:7">
      <c r="B56" s="7" t="s">
        <v>268</v>
      </c>
      <c r="C56" s="7"/>
      <c r="D56" s="7"/>
      <c r="E56" s="7"/>
      <c r="F56" s="7"/>
    </row>
    <row r="57" spans="2:7">
      <c r="B57" s="2" t="s">
        <v>269</v>
      </c>
      <c r="C57" s="63" t="s">
        <v>270</v>
      </c>
      <c r="D57" s="14" t="s">
        <v>271</v>
      </c>
      <c r="E57" s="15" t="s">
        <v>272</v>
      </c>
      <c r="F57" s="64" t="s">
        <v>273</v>
      </c>
    </row>
    <row r="58" spans="2:7">
      <c r="B58" s="1">
        <v>1</v>
      </c>
      <c r="C58" s="65" t="s">
        <v>274</v>
      </c>
      <c r="D58" s="66">
        <v>20</v>
      </c>
      <c r="E58" s="66">
        <v>18</v>
      </c>
      <c r="F58" s="10" t="str">
        <f>IFERROR(REPT("■",ABS(D58-E58)),"")</f>
        <v>■■</v>
      </c>
    </row>
    <row r="59" spans="2:7">
      <c r="B59" s="1">
        <v>2</v>
      </c>
      <c r="C59" s="65" t="s">
        <v>275</v>
      </c>
      <c r="D59" s="66">
        <v>20</v>
      </c>
      <c r="E59" s="66">
        <v>23</v>
      </c>
      <c r="F59" s="10" t="str">
        <f t="shared" ref="F59:F66" si="5">IFERROR(REPT("■",ABS(D59-E59)),"")</f>
        <v>■■■</v>
      </c>
    </row>
    <row r="60" spans="2:7">
      <c r="B60" s="1">
        <v>3</v>
      </c>
      <c r="C60" s="65" t="s">
        <v>276</v>
      </c>
      <c r="D60" s="66">
        <v>20</v>
      </c>
      <c r="E60" s="66">
        <v>15</v>
      </c>
      <c r="F60" s="10" t="str">
        <f t="shared" si="5"/>
        <v>■■■■■</v>
      </c>
    </row>
    <row r="61" spans="2:7">
      <c r="B61" s="1">
        <v>4</v>
      </c>
      <c r="C61" s="65" t="s">
        <v>277</v>
      </c>
      <c r="D61" s="66">
        <v>20</v>
      </c>
      <c r="E61" s="66" t="s">
        <v>278</v>
      </c>
      <c r="F61" s="10" t="str">
        <f t="shared" si="5"/>
        <v/>
      </c>
    </row>
    <row r="62" spans="2:7">
      <c r="B62" s="1">
        <v>5</v>
      </c>
      <c r="C62" s="65" t="s">
        <v>279</v>
      </c>
      <c r="D62" s="66">
        <v>20</v>
      </c>
      <c r="E62" s="66">
        <v>15</v>
      </c>
      <c r="F62" s="10" t="str">
        <f t="shared" si="5"/>
        <v>■■■■■</v>
      </c>
    </row>
    <row r="63" spans="2:7">
      <c r="B63" s="1">
        <v>6</v>
      </c>
      <c r="C63" s="65" t="s">
        <v>280</v>
      </c>
      <c r="D63" s="66">
        <v>30</v>
      </c>
      <c r="E63" s="66">
        <v>34</v>
      </c>
      <c r="F63" s="10" t="str">
        <f t="shared" si="5"/>
        <v>■■■■</v>
      </c>
    </row>
    <row r="64" spans="2:7">
      <c r="B64" s="1">
        <v>7</v>
      </c>
      <c r="C64" s="65" t="s">
        <v>281</v>
      </c>
      <c r="D64" s="66">
        <v>30</v>
      </c>
      <c r="E64" s="66" t="s">
        <v>278</v>
      </c>
      <c r="F64" s="10" t="str">
        <f t="shared" si="5"/>
        <v/>
      </c>
    </row>
    <row r="65" spans="2:6">
      <c r="B65" s="1">
        <v>8</v>
      </c>
      <c r="C65" s="65" t="s">
        <v>282</v>
      </c>
      <c r="D65" s="66">
        <v>30</v>
      </c>
      <c r="E65" s="66">
        <v>28</v>
      </c>
      <c r="F65" s="10" t="str">
        <f t="shared" si="5"/>
        <v>■■</v>
      </c>
    </row>
    <row r="66" spans="2:6">
      <c r="B66" s="1">
        <v>9</v>
      </c>
      <c r="C66" s="65" t="s">
        <v>283</v>
      </c>
      <c r="D66" s="66">
        <v>30</v>
      </c>
      <c r="E66" s="66">
        <v>28</v>
      </c>
      <c r="F66" s="10" t="str">
        <f t="shared" si="5"/>
        <v>■■</v>
      </c>
    </row>
    <row r="67" spans="2:6">
      <c r="B67" s="7"/>
      <c r="C67" s="7"/>
      <c r="D67" s="7"/>
      <c r="E67" s="7"/>
      <c r="F67" s="7"/>
    </row>
    <row r="68" spans="2:6">
      <c r="B68" s="7"/>
      <c r="C68" s="7"/>
      <c r="D68" s="7"/>
      <c r="E68" s="7"/>
      <c r="F6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1"/>
  <sheetViews>
    <sheetView workbookViewId="0">
      <selection activeCell="G25" sqref="G25"/>
    </sheetView>
  </sheetViews>
  <sheetFormatPr defaultRowHeight="16.5"/>
  <cols>
    <col min="1" max="1" width="10.25" customWidth="1"/>
    <col min="5" max="5" width="12.125" bestFit="1" customWidth="1"/>
    <col min="6" max="7" width="13.875" customWidth="1"/>
  </cols>
  <sheetData>
    <row r="1" spans="1:7">
      <c r="A1" t="s">
        <v>285</v>
      </c>
      <c r="B1" t="s">
        <v>0</v>
      </c>
      <c r="C1" t="s">
        <v>286</v>
      </c>
      <c r="D1" t="s">
        <v>287</v>
      </c>
      <c r="E1" t="s">
        <v>326</v>
      </c>
      <c r="F1" t="s">
        <v>289</v>
      </c>
      <c r="G1" t="s">
        <v>290</v>
      </c>
    </row>
    <row r="2" spans="1:7">
      <c r="A2" t="s">
        <v>335</v>
      </c>
      <c r="B2" t="s">
        <v>8</v>
      </c>
      <c r="C2" t="s">
        <v>291</v>
      </c>
      <c r="D2" t="s">
        <v>292</v>
      </c>
      <c r="E2" s="71">
        <v>0.41666666666666669</v>
      </c>
      <c r="F2">
        <v>55000</v>
      </c>
      <c r="G2">
        <v>135000</v>
      </c>
    </row>
    <row r="3" spans="1:7">
      <c r="A3" t="s">
        <v>293</v>
      </c>
      <c r="B3" t="s">
        <v>294</v>
      </c>
      <c r="C3" t="s">
        <v>291</v>
      </c>
      <c r="D3" t="s">
        <v>295</v>
      </c>
      <c r="E3" s="71">
        <v>0.4236111111111111</v>
      </c>
      <c r="F3">
        <v>78000</v>
      </c>
      <c r="G3">
        <v>38700</v>
      </c>
    </row>
    <row r="4" spans="1:7">
      <c r="A4" t="s">
        <v>296</v>
      </c>
      <c r="B4" t="s">
        <v>297</v>
      </c>
      <c r="C4" t="s">
        <v>291</v>
      </c>
      <c r="D4" t="s">
        <v>295</v>
      </c>
      <c r="E4" s="71">
        <v>0.43055555555555558</v>
      </c>
      <c r="F4">
        <v>52200</v>
      </c>
      <c r="G4">
        <v>7700</v>
      </c>
    </row>
    <row r="5" spans="1:7">
      <c r="A5" t="s">
        <v>298</v>
      </c>
      <c r="B5" t="s">
        <v>299</v>
      </c>
      <c r="C5" t="s">
        <v>300</v>
      </c>
      <c r="D5" t="s">
        <v>295</v>
      </c>
      <c r="E5" s="71">
        <v>0.4375</v>
      </c>
      <c r="F5">
        <v>122500</v>
      </c>
      <c r="G5">
        <v>12500</v>
      </c>
    </row>
    <row r="6" spans="1:7">
      <c r="A6" t="s">
        <v>301</v>
      </c>
      <c r="B6" t="s">
        <v>302</v>
      </c>
      <c r="C6" t="s">
        <v>291</v>
      </c>
      <c r="D6" t="s">
        <v>303</v>
      </c>
      <c r="E6" s="71">
        <v>0.44444444444444442</v>
      </c>
      <c r="F6">
        <v>21020</v>
      </c>
      <c r="G6">
        <v>37000</v>
      </c>
    </row>
    <row r="7" spans="1:7">
      <c r="A7" t="s">
        <v>304</v>
      </c>
      <c r="B7" t="s">
        <v>9</v>
      </c>
      <c r="C7" t="s">
        <v>300</v>
      </c>
      <c r="D7" t="s">
        <v>303</v>
      </c>
      <c r="E7" s="71">
        <v>0.4513888888888889</v>
      </c>
      <c r="F7">
        <v>2020</v>
      </c>
      <c r="G7">
        <v>135000</v>
      </c>
    </row>
    <row r="8" spans="1:7">
      <c r="A8" t="s">
        <v>318</v>
      </c>
      <c r="B8" t="s">
        <v>3</v>
      </c>
      <c r="C8" t="s">
        <v>291</v>
      </c>
      <c r="D8" t="s">
        <v>295</v>
      </c>
      <c r="E8" s="71">
        <v>0.4513888888888889</v>
      </c>
      <c r="F8">
        <v>38700</v>
      </c>
      <c r="G8">
        <v>122500</v>
      </c>
    </row>
    <row r="9" spans="1:7">
      <c r="A9" t="s">
        <v>305</v>
      </c>
      <c r="B9" t="s">
        <v>306</v>
      </c>
      <c r="C9" t="s">
        <v>291</v>
      </c>
      <c r="D9" t="s">
        <v>307</v>
      </c>
      <c r="E9" s="71">
        <v>0.45833333333333331</v>
      </c>
      <c r="F9">
        <v>14560</v>
      </c>
      <c r="G9">
        <v>38700</v>
      </c>
    </row>
    <row r="10" spans="1:7">
      <c r="A10" t="s">
        <v>319</v>
      </c>
      <c r="B10" t="s">
        <v>7</v>
      </c>
      <c r="C10" t="s">
        <v>291</v>
      </c>
      <c r="D10" t="s">
        <v>303</v>
      </c>
      <c r="E10" s="71">
        <v>0.45833333333333331</v>
      </c>
      <c r="F10">
        <v>135000</v>
      </c>
      <c r="G10">
        <v>2020</v>
      </c>
    </row>
    <row r="11" spans="1:7">
      <c r="A11" t="s">
        <v>320</v>
      </c>
      <c r="B11" t="s">
        <v>321</v>
      </c>
      <c r="C11" t="s">
        <v>291</v>
      </c>
      <c r="D11" t="s">
        <v>303</v>
      </c>
      <c r="E11" s="71">
        <v>0.46527777777777773</v>
      </c>
      <c r="F11">
        <v>37000</v>
      </c>
      <c r="G11">
        <v>14560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20"/>
  <sheetViews>
    <sheetView topLeftCell="M1" workbookViewId="0">
      <selection activeCell="T19" sqref="T19"/>
    </sheetView>
  </sheetViews>
  <sheetFormatPr defaultRowHeight="16.5"/>
  <cols>
    <col min="6" max="6" width="10.25" bestFit="1" customWidth="1"/>
    <col min="7" max="8" width="14.125" bestFit="1" customWidth="1"/>
    <col min="10" max="10" width="11.25" customWidth="1"/>
    <col min="11" max="11" width="11.25" bestFit="1" customWidth="1"/>
    <col min="12" max="12" width="18.75" customWidth="1"/>
    <col min="13" max="16" width="15.25" bestFit="1" customWidth="1"/>
    <col min="17" max="17" width="17" bestFit="1" customWidth="1"/>
    <col min="18" max="19" width="19.25" bestFit="1" customWidth="1"/>
    <col min="20" max="21" width="24.125" bestFit="1" customWidth="1"/>
  </cols>
  <sheetData>
    <row r="2" spans="2:17">
      <c r="B2" s="67" t="s">
        <v>285</v>
      </c>
      <c r="C2" s="67" t="s">
        <v>0</v>
      </c>
      <c r="D2" s="67" t="s">
        <v>286</v>
      </c>
      <c r="E2" s="67" t="s">
        <v>287</v>
      </c>
      <c r="F2" s="67" t="s">
        <v>288</v>
      </c>
      <c r="G2" s="67" t="s">
        <v>289</v>
      </c>
      <c r="H2" s="67" t="s">
        <v>290</v>
      </c>
      <c r="J2" t="s">
        <v>286</v>
      </c>
      <c r="K2" t="s">
        <v>324</v>
      </c>
    </row>
    <row r="3" spans="2:17">
      <c r="B3" s="6" t="s">
        <v>385</v>
      </c>
      <c r="C3" s="6" t="s">
        <v>8</v>
      </c>
      <c r="D3" s="6" t="s">
        <v>291</v>
      </c>
      <c r="E3" s="6" t="s">
        <v>292</v>
      </c>
      <c r="F3" s="68">
        <v>0.41666666666666669</v>
      </c>
      <c r="G3" s="6">
        <v>55000</v>
      </c>
      <c r="H3" s="6">
        <v>135000</v>
      </c>
    </row>
    <row r="4" spans="2:17">
      <c r="B4" s="6" t="s">
        <v>293</v>
      </c>
      <c r="C4" s="6" t="s">
        <v>294</v>
      </c>
      <c r="D4" s="6" t="s">
        <v>291</v>
      </c>
      <c r="E4" s="6" t="s">
        <v>295</v>
      </c>
      <c r="F4" s="68">
        <v>0.4236111111111111</v>
      </c>
      <c r="G4" s="6">
        <v>78000</v>
      </c>
      <c r="H4" s="6">
        <v>38700</v>
      </c>
      <c r="M4" t="s">
        <v>287</v>
      </c>
    </row>
    <row r="5" spans="2:17">
      <c r="B5" s="6" t="s">
        <v>296</v>
      </c>
      <c r="C5" s="6" t="s">
        <v>297</v>
      </c>
      <c r="D5" s="6" t="s">
        <v>291</v>
      </c>
      <c r="E5" s="6" t="s">
        <v>295</v>
      </c>
      <c r="F5" s="68">
        <v>0.43055555555555503</v>
      </c>
      <c r="G5" s="6">
        <v>52200</v>
      </c>
      <c r="H5" s="6">
        <v>7700</v>
      </c>
      <c r="J5" t="s">
        <v>325</v>
      </c>
      <c r="K5" t="s">
        <v>326</v>
      </c>
      <c r="L5" t="s">
        <v>327</v>
      </c>
      <c r="M5" t="s">
        <v>307</v>
      </c>
      <c r="N5" t="s">
        <v>292</v>
      </c>
      <c r="O5" t="s">
        <v>303</v>
      </c>
      <c r="P5" t="s">
        <v>295</v>
      </c>
      <c r="Q5" t="s">
        <v>328</v>
      </c>
    </row>
    <row r="6" spans="2:17">
      <c r="B6" s="6" t="s">
        <v>298</v>
      </c>
      <c r="C6" s="6" t="s">
        <v>299</v>
      </c>
      <c r="D6" s="6" t="s">
        <v>300</v>
      </c>
      <c r="E6" s="6" t="s">
        <v>295</v>
      </c>
      <c r="F6" s="68">
        <v>0.4375</v>
      </c>
      <c r="G6" s="6">
        <v>122500</v>
      </c>
      <c r="H6" s="6">
        <v>12500</v>
      </c>
      <c r="J6" t="s">
        <v>329</v>
      </c>
      <c r="M6" s="69"/>
      <c r="N6" s="69"/>
      <c r="O6" s="69"/>
      <c r="P6" s="69"/>
      <c r="Q6" s="69"/>
    </row>
    <row r="7" spans="2:17">
      <c r="B7" s="6" t="s">
        <v>301</v>
      </c>
      <c r="C7" s="6" t="s">
        <v>302</v>
      </c>
      <c r="D7" s="6" t="s">
        <v>291</v>
      </c>
      <c r="E7" s="6" t="s">
        <v>303</v>
      </c>
      <c r="F7" s="68">
        <v>0.44444444444444398</v>
      </c>
      <c r="G7" s="6">
        <v>21020</v>
      </c>
      <c r="H7" s="6">
        <v>37000</v>
      </c>
      <c r="L7" t="s">
        <v>330</v>
      </c>
      <c r="M7" s="69">
        <v>14560</v>
      </c>
      <c r="N7" s="69">
        <v>55000</v>
      </c>
      <c r="O7" s="69">
        <v>195040</v>
      </c>
      <c r="P7" s="69">
        <v>291400</v>
      </c>
      <c r="Q7" s="69">
        <v>556000</v>
      </c>
    </row>
    <row r="8" spans="2:17">
      <c r="B8" s="6" t="s">
        <v>304</v>
      </c>
      <c r="C8" s="6" t="s">
        <v>9</v>
      </c>
      <c r="D8" s="6" t="s">
        <v>300</v>
      </c>
      <c r="E8" s="6" t="s">
        <v>303</v>
      </c>
      <c r="F8" s="68">
        <v>0.45138888888888901</v>
      </c>
      <c r="G8" s="6">
        <v>2020</v>
      </c>
      <c r="H8" s="6">
        <v>135000</v>
      </c>
      <c r="L8" t="s">
        <v>331</v>
      </c>
      <c r="M8" s="70">
        <v>38700</v>
      </c>
      <c r="N8" s="70">
        <v>135000</v>
      </c>
      <c r="O8" s="70">
        <v>188580</v>
      </c>
      <c r="P8" s="70">
        <v>181400</v>
      </c>
      <c r="Q8" s="70">
        <v>543680</v>
      </c>
    </row>
    <row r="9" spans="2:17">
      <c r="B9" s="6" t="s">
        <v>305</v>
      </c>
      <c r="C9" s="6" t="s">
        <v>306</v>
      </c>
      <c r="D9" s="6" t="s">
        <v>291</v>
      </c>
      <c r="E9" s="6" t="s">
        <v>307</v>
      </c>
      <c r="F9" s="68">
        <v>0.45833333333333298</v>
      </c>
      <c r="G9" s="6">
        <v>14560</v>
      </c>
      <c r="H9" s="6">
        <v>38700</v>
      </c>
      <c r="J9" t="s">
        <v>332</v>
      </c>
      <c r="M9" s="69"/>
      <c r="N9" s="69"/>
      <c r="O9" s="69"/>
      <c r="P9" s="69"/>
      <c r="Q9" s="69"/>
    </row>
    <row r="10" spans="2:17">
      <c r="B10" s="6" t="s">
        <v>308</v>
      </c>
      <c r="C10" s="6" t="s">
        <v>11</v>
      </c>
      <c r="D10" s="6" t="s">
        <v>300</v>
      </c>
      <c r="E10" s="6" t="s">
        <v>307</v>
      </c>
      <c r="F10" s="68">
        <v>0.58333333333333337</v>
      </c>
      <c r="G10" s="6">
        <v>140520</v>
      </c>
      <c r="H10" s="6">
        <v>78000</v>
      </c>
      <c r="L10" t="s">
        <v>330</v>
      </c>
      <c r="M10" s="69">
        <v>206340</v>
      </c>
      <c r="N10" s="69">
        <v>393250</v>
      </c>
      <c r="O10" s="69"/>
      <c r="P10" s="69">
        <v>135000</v>
      </c>
      <c r="Q10" s="69">
        <v>734590</v>
      </c>
    </row>
    <row r="11" spans="2:17">
      <c r="B11" s="6" t="s">
        <v>309</v>
      </c>
      <c r="C11" s="6" t="s">
        <v>12</v>
      </c>
      <c r="D11" s="6" t="s">
        <v>300</v>
      </c>
      <c r="E11" s="6" t="s">
        <v>307</v>
      </c>
      <c r="F11" s="68">
        <v>0.625</v>
      </c>
      <c r="G11" s="6">
        <v>22020</v>
      </c>
      <c r="H11" s="6">
        <v>52200</v>
      </c>
      <c r="L11" t="s">
        <v>331</v>
      </c>
      <c r="M11" s="70">
        <v>181220</v>
      </c>
      <c r="N11" s="70">
        <v>209450</v>
      </c>
      <c r="O11" s="70"/>
      <c r="P11" s="70">
        <v>152000</v>
      </c>
      <c r="Q11" s="70">
        <v>542670</v>
      </c>
    </row>
    <row r="12" spans="2:17">
      <c r="B12" s="6" t="s">
        <v>310</v>
      </c>
      <c r="C12" s="6" t="s">
        <v>14</v>
      </c>
      <c r="D12" s="6" t="s">
        <v>291</v>
      </c>
      <c r="E12" s="6" t="s">
        <v>292</v>
      </c>
      <c r="F12" s="68">
        <v>0.66666666666666696</v>
      </c>
      <c r="G12" s="6">
        <v>80250</v>
      </c>
      <c r="H12" s="6">
        <v>11250</v>
      </c>
      <c r="J12" t="s">
        <v>333</v>
      </c>
      <c r="M12" s="69">
        <v>220900</v>
      </c>
      <c r="N12" s="69">
        <v>448250</v>
      </c>
      <c r="O12" s="69">
        <v>195040</v>
      </c>
      <c r="P12" s="69">
        <v>426400</v>
      </c>
      <c r="Q12" s="69">
        <v>1290590</v>
      </c>
    </row>
    <row r="13" spans="2:17">
      <c r="B13" s="6" t="s">
        <v>311</v>
      </c>
      <c r="C13" s="6" t="s">
        <v>312</v>
      </c>
      <c r="D13" s="6" t="s">
        <v>291</v>
      </c>
      <c r="E13" s="6" t="s">
        <v>295</v>
      </c>
      <c r="F13" s="68">
        <v>0.70833333333333304</v>
      </c>
      <c r="G13" s="6">
        <v>135000</v>
      </c>
      <c r="H13" s="6">
        <v>152000</v>
      </c>
      <c r="J13" t="s">
        <v>334</v>
      </c>
      <c r="M13" s="70">
        <v>219920</v>
      </c>
      <c r="N13" s="70">
        <v>344450</v>
      </c>
      <c r="O13" s="70">
        <v>188580</v>
      </c>
      <c r="P13" s="70">
        <v>333400</v>
      </c>
      <c r="Q13" s="70">
        <v>1086350</v>
      </c>
    </row>
    <row r="14" spans="2:17">
      <c r="B14" s="6" t="s">
        <v>313</v>
      </c>
      <c r="C14" s="6" t="s">
        <v>10</v>
      </c>
      <c r="D14" s="6" t="s">
        <v>291</v>
      </c>
      <c r="E14" s="6" t="s">
        <v>307</v>
      </c>
      <c r="F14" s="68">
        <v>0.75</v>
      </c>
      <c r="G14" s="6">
        <v>38000</v>
      </c>
      <c r="H14" s="6">
        <v>29000</v>
      </c>
    </row>
    <row r="15" spans="2:17">
      <c r="B15" s="6" t="s">
        <v>314</v>
      </c>
      <c r="C15" s="6" t="s">
        <v>315</v>
      </c>
      <c r="D15" s="6" t="s">
        <v>300</v>
      </c>
      <c r="E15" s="6" t="s">
        <v>292</v>
      </c>
      <c r="F15" s="68">
        <v>0.79166666666666696</v>
      </c>
      <c r="G15" s="6">
        <v>178000</v>
      </c>
      <c r="H15" s="6">
        <v>120200</v>
      </c>
    </row>
    <row r="16" spans="2:17">
      <c r="B16" s="6" t="s">
        <v>316</v>
      </c>
      <c r="C16" s="6" t="s">
        <v>317</v>
      </c>
      <c r="D16" s="6" t="s">
        <v>291</v>
      </c>
      <c r="E16" s="6" t="s">
        <v>292</v>
      </c>
      <c r="F16" s="68">
        <v>0.83333333333333304</v>
      </c>
      <c r="G16" s="6">
        <v>135000</v>
      </c>
      <c r="H16" s="6">
        <v>78000</v>
      </c>
    </row>
    <row r="17" spans="2:8">
      <c r="B17" s="6" t="s">
        <v>318</v>
      </c>
      <c r="C17" s="6" t="s">
        <v>3</v>
      </c>
      <c r="D17" s="6" t="s">
        <v>291</v>
      </c>
      <c r="E17" s="6" t="s">
        <v>295</v>
      </c>
      <c r="F17" s="68">
        <v>0.45138888888888901</v>
      </c>
      <c r="G17" s="6">
        <v>38700</v>
      </c>
      <c r="H17" s="6">
        <v>122500</v>
      </c>
    </row>
    <row r="18" spans="2:8">
      <c r="B18" s="6" t="s">
        <v>319</v>
      </c>
      <c r="C18" s="6" t="s">
        <v>7</v>
      </c>
      <c r="D18" s="6" t="s">
        <v>291</v>
      </c>
      <c r="E18" s="6" t="s">
        <v>303</v>
      </c>
      <c r="F18" s="68">
        <v>0.45833333333333298</v>
      </c>
      <c r="G18" s="6">
        <v>135000</v>
      </c>
      <c r="H18" s="6">
        <v>2020</v>
      </c>
    </row>
    <row r="19" spans="2:8">
      <c r="B19" s="6" t="s">
        <v>320</v>
      </c>
      <c r="C19" s="6" t="s">
        <v>321</v>
      </c>
      <c r="D19" s="6" t="s">
        <v>291</v>
      </c>
      <c r="E19" s="6" t="s">
        <v>303</v>
      </c>
      <c r="F19" s="68">
        <v>0.46527777777777801</v>
      </c>
      <c r="G19" s="6">
        <v>37000</v>
      </c>
      <c r="H19" s="6">
        <v>14560</v>
      </c>
    </row>
    <row r="20" spans="2:8">
      <c r="B20" s="6" t="s">
        <v>322</v>
      </c>
      <c r="C20" s="6" t="s">
        <v>323</v>
      </c>
      <c r="D20" s="6" t="s">
        <v>300</v>
      </c>
      <c r="E20" s="6" t="s">
        <v>307</v>
      </c>
      <c r="F20" s="68">
        <v>0.50694444444444497</v>
      </c>
      <c r="G20" s="6">
        <v>5800</v>
      </c>
      <c r="H20" s="6">
        <v>22020</v>
      </c>
    </row>
  </sheetData>
  <phoneticPr fontId="1" type="noConversion"/>
  <conditionalFormatting sqref="G3:H20 B3:E20">
    <cfRule type="expression" dxfId="7" priority="1">
      <formula>OR(YEAR($E3)=2001,YEAR($E3)=2003,MONTH($E3)=4)</formula>
    </cfRule>
  </conditionalFormatting>
  <pageMargins left="0.7" right="0.7" top="0.75" bottom="0.75" header="0.3" footer="0.3"/>
  <pageSetup paperSize="9" orientation="portrait" horizontalDpi="0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40"/>
  <sheetViews>
    <sheetView topLeftCell="A6" workbookViewId="0">
      <selection activeCell="I63" sqref="I63"/>
    </sheetView>
  </sheetViews>
  <sheetFormatPr defaultRowHeight="16.5"/>
  <cols>
    <col min="1" max="1" width="4.625" customWidth="1"/>
    <col min="5" max="5" width="11.125" bestFit="1" customWidth="1"/>
    <col min="10" max="10" width="13.75" customWidth="1"/>
  </cols>
  <sheetData>
    <row r="1" spans="2:12" ht="19.5">
      <c r="C1" s="72" t="s">
        <v>336</v>
      </c>
      <c r="D1" s="73"/>
      <c r="E1" s="72"/>
      <c r="F1" s="72"/>
      <c r="G1" s="6"/>
      <c r="H1" s="6"/>
      <c r="I1" s="6"/>
      <c r="J1" s="6"/>
      <c r="K1" s="6"/>
      <c r="L1" s="6"/>
    </row>
    <row r="2" spans="2:12" ht="19.5">
      <c r="C2" s="72"/>
      <c r="D2" s="73"/>
      <c r="E2" s="72"/>
      <c r="F2" s="72"/>
      <c r="G2" s="6"/>
      <c r="H2" s="6"/>
      <c r="I2" s="6"/>
      <c r="J2" s="6"/>
      <c r="K2" s="6"/>
      <c r="L2" s="6"/>
    </row>
    <row r="3" spans="2:12">
      <c r="B3" s="74" t="s">
        <v>337</v>
      </c>
      <c r="D3" s="6"/>
      <c r="E3" s="6"/>
      <c r="F3" s="6"/>
      <c r="G3" s="6"/>
      <c r="H3" s="6"/>
      <c r="I3" s="6"/>
      <c r="J3" s="6"/>
      <c r="K3" s="6"/>
      <c r="L3" s="6"/>
    </row>
    <row r="4" spans="2:12">
      <c r="B4" s="1" t="s">
        <v>338</v>
      </c>
      <c r="C4" s="75" t="s">
        <v>339</v>
      </c>
      <c r="D4" s="75" t="s">
        <v>340</v>
      </c>
      <c r="E4" s="75" t="s">
        <v>341</v>
      </c>
      <c r="F4" s="75" t="s">
        <v>342</v>
      </c>
      <c r="G4" s="6"/>
      <c r="H4" s="67" t="s">
        <v>343</v>
      </c>
      <c r="I4" s="6"/>
      <c r="J4" s="6"/>
      <c r="K4" s="6"/>
      <c r="L4" s="6"/>
    </row>
    <row r="5" spans="2:12">
      <c r="B5" s="1">
        <v>1</v>
      </c>
      <c r="C5" s="75" t="s">
        <v>344</v>
      </c>
      <c r="D5" s="75" t="s">
        <v>345</v>
      </c>
      <c r="E5" s="76">
        <v>80</v>
      </c>
      <c r="F5" s="76">
        <v>70</v>
      </c>
      <c r="G5" s="6"/>
      <c r="H5" s="75" t="s">
        <v>339</v>
      </c>
      <c r="I5" s="75" t="s">
        <v>341</v>
      </c>
      <c r="J5" s="75" t="s">
        <v>342</v>
      </c>
      <c r="K5" s="6"/>
      <c r="L5" s="6"/>
    </row>
    <row r="6" spans="2:12">
      <c r="B6" s="1">
        <v>2</v>
      </c>
      <c r="C6" s="75" t="s">
        <v>346</v>
      </c>
      <c r="D6" s="75" t="s">
        <v>347</v>
      </c>
      <c r="E6" s="76">
        <v>50</v>
      </c>
      <c r="F6" s="76">
        <v>60</v>
      </c>
      <c r="G6" s="6"/>
      <c r="H6" s="4" t="s">
        <v>363</v>
      </c>
      <c r="I6" s="4">
        <v>74</v>
      </c>
      <c r="J6" s="4">
        <v>72</v>
      </c>
      <c r="K6" s="6"/>
      <c r="L6" s="6"/>
    </row>
    <row r="7" spans="2:12">
      <c r="B7" s="1">
        <v>3</v>
      </c>
      <c r="C7" s="75" t="s">
        <v>348</v>
      </c>
      <c r="D7" s="75" t="s">
        <v>349</v>
      </c>
      <c r="E7" s="76">
        <v>70</v>
      </c>
      <c r="F7" s="76">
        <v>70</v>
      </c>
      <c r="G7" s="6"/>
      <c r="H7" s="4" t="s">
        <v>364</v>
      </c>
      <c r="I7" s="4">
        <v>73.333333333333329</v>
      </c>
      <c r="J7" s="4">
        <v>71.666666666666671</v>
      </c>
      <c r="K7" s="6"/>
      <c r="L7" s="6"/>
    </row>
    <row r="8" spans="2:12">
      <c r="B8" s="1">
        <v>4</v>
      </c>
      <c r="C8" s="75" t="s">
        <v>350</v>
      </c>
      <c r="D8" s="75" t="s">
        <v>351</v>
      </c>
      <c r="E8" s="76">
        <v>80</v>
      </c>
      <c r="F8" s="76">
        <v>75</v>
      </c>
      <c r="G8" s="6"/>
      <c r="H8" s="4" t="s">
        <v>365</v>
      </c>
      <c r="I8" s="4">
        <v>90</v>
      </c>
      <c r="J8" s="4">
        <v>90</v>
      </c>
      <c r="K8" s="6"/>
      <c r="L8" s="6"/>
    </row>
    <row r="9" spans="2:12">
      <c r="B9" s="1">
        <v>5</v>
      </c>
      <c r="C9" s="75" t="s">
        <v>352</v>
      </c>
      <c r="D9" s="75" t="s">
        <v>353</v>
      </c>
      <c r="E9" s="76">
        <v>50</v>
      </c>
      <c r="F9" s="76">
        <v>60</v>
      </c>
      <c r="G9" s="6"/>
      <c r="H9" s="6"/>
      <c r="I9" s="6"/>
      <c r="J9" s="6"/>
      <c r="K9" s="6"/>
      <c r="L9" s="6"/>
    </row>
    <row r="10" spans="2:12">
      <c r="B10" s="1">
        <v>6</v>
      </c>
      <c r="C10" s="75" t="s">
        <v>354</v>
      </c>
      <c r="D10" s="75" t="s">
        <v>347</v>
      </c>
      <c r="E10" s="76">
        <v>45</v>
      </c>
      <c r="F10" s="76">
        <v>55</v>
      </c>
      <c r="G10" s="6"/>
      <c r="H10" s="79"/>
      <c r="I10" s="6"/>
      <c r="J10" s="6"/>
      <c r="K10" s="6"/>
      <c r="L10" s="6"/>
    </row>
    <row r="11" spans="2:12">
      <c r="C11" s="6"/>
      <c r="D11" s="6"/>
      <c r="E11" s="6"/>
      <c r="F11" s="6"/>
      <c r="G11" s="6"/>
      <c r="H11" s="79"/>
      <c r="I11" s="6"/>
      <c r="J11" s="6"/>
      <c r="K11" s="6"/>
      <c r="L11" s="6"/>
    </row>
    <row r="12" spans="2:12">
      <c r="B12" s="74" t="s">
        <v>355</v>
      </c>
      <c r="D12" s="77"/>
      <c r="E12" s="6"/>
      <c r="F12" s="6"/>
      <c r="G12" s="6"/>
      <c r="H12" s="6"/>
      <c r="I12" s="6"/>
      <c r="J12" s="6"/>
      <c r="K12" s="6"/>
      <c r="L12" s="6"/>
    </row>
    <row r="13" spans="2:12">
      <c r="B13" s="1" t="s">
        <v>338</v>
      </c>
      <c r="C13" s="75" t="s">
        <v>339</v>
      </c>
      <c r="D13" s="75" t="s">
        <v>340</v>
      </c>
      <c r="E13" s="75" t="s">
        <v>342</v>
      </c>
      <c r="F13" s="75" t="s">
        <v>341</v>
      </c>
      <c r="G13" s="6"/>
      <c r="H13" s="6"/>
      <c r="I13" s="6"/>
      <c r="J13" s="6"/>
      <c r="K13" s="6"/>
      <c r="L13" s="6"/>
    </row>
    <row r="14" spans="2:12">
      <c r="B14" s="1">
        <v>1</v>
      </c>
      <c r="C14" s="75" t="s">
        <v>356</v>
      </c>
      <c r="D14" s="75" t="s">
        <v>351</v>
      </c>
      <c r="E14" s="76">
        <v>70</v>
      </c>
      <c r="F14" s="76">
        <v>80</v>
      </c>
      <c r="G14" s="6"/>
      <c r="H14" s="6"/>
      <c r="I14" s="6"/>
      <c r="K14" s="6"/>
      <c r="L14" s="6"/>
    </row>
    <row r="15" spans="2:12">
      <c r="B15" s="1">
        <v>2</v>
      </c>
      <c r="C15" s="75" t="s">
        <v>357</v>
      </c>
      <c r="D15" s="75" t="s">
        <v>358</v>
      </c>
      <c r="E15" s="76">
        <v>90</v>
      </c>
      <c r="F15" s="76">
        <v>90</v>
      </c>
      <c r="G15" s="6"/>
      <c r="H15" s="6"/>
      <c r="I15" s="6"/>
      <c r="K15" s="6"/>
      <c r="L15" s="6"/>
    </row>
    <row r="16" spans="2:12">
      <c r="B16" s="1">
        <v>3</v>
      </c>
      <c r="C16" s="75" t="s">
        <v>359</v>
      </c>
      <c r="D16" s="75" t="s">
        <v>347</v>
      </c>
      <c r="E16" s="76">
        <v>90</v>
      </c>
      <c r="F16" s="76">
        <v>80</v>
      </c>
      <c r="G16" s="6"/>
      <c r="H16" s="6"/>
      <c r="I16" s="6"/>
      <c r="K16" s="6"/>
      <c r="L16" s="6"/>
    </row>
    <row r="17" spans="2:12">
      <c r="B17" s="1">
        <v>4</v>
      </c>
      <c r="C17" s="75" t="s">
        <v>360</v>
      </c>
      <c r="D17" s="75" t="s">
        <v>347</v>
      </c>
      <c r="E17" s="76">
        <v>70</v>
      </c>
      <c r="F17" s="76">
        <v>70</v>
      </c>
      <c r="G17" s="6"/>
      <c r="H17" s="6"/>
      <c r="I17" s="6"/>
      <c r="K17" s="6"/>
      <c r="L17" s="6"/>
    </row>
    <row r="18" spans="2:12">
      <c r="B18" s="1">
        <v>5</v>
      </c>
      <c r="C18" s="75" t="s">
        <v>361</v>
      </c>
      <c r="D18" s="75" t="s">
        <v>351</v>
      </c>
      <c r="E18" s="78">
        <v>70</v>
      </c>
      <c r="F18" s="76">
        <v>80</v>
      </c>
      <c r="G18" s="6"/>
      <c r="H18" s="6"/>
      <c r="I18" s="6"/>
      <c r="K18" s="6"/>
      <c r="L18" s="6"/>
    </row>
    <row r="19" spans="2:12">
      <c r="B19" s="1">
        <v>6</v>
      </c>
      <c r="C19" s="75" t="s">
        <v>362</v>
      </c>
      <c r="D19" s="75" t="s">
        <v>347</v>
      </c>
      <c r="E19" s="78">
        <v>80</v>
      </c>
      <c r="F19" s="76">
        <v>90</v>
      </c>
      <c r="G19" s="6"/>
      <c r="H19" s="6"/>
      <c r="I19" s="6"/>
      <c r="K19" s="6"/>
      <c r="L19" s="6"/>
    </row>
    <row r="20" spans="2:12">
      <c r="C20" s="6"/>
      <c r="D20" s="6"/>
      <c r="E20" s="6"/>
      <c r="F20" s="6"/>
      <c r="G20" s="6"/>
      <c r="H20" s="6"/>
      <c r="I20" s="6"/>
      <c r="K20" s="6"/>
      <c r="L20" s="6"/>
    </row>
    <row r="30" spans="2:12">
      <c r="B30" s="24" t="s">
        <v>153</v>
      </c>
    </row>
    <row r="31" spans="2:12">
      <c r="B31" s="11">
        <v>1</v>
      </c>
      <c r="C31" s="9" t="s">
        <v>1</v>
      </c>
      <c r="D31" s="25" t="s">
        <v>155</v>
      </c>
      <c r="E31" s="26">
        <v>41642</v>
      </c>
      <c r="F31" s="27">
        <v>70000</v>
      </c>
    </row>
    <row r="32" spans="2:12">
      <c r="B32" s="11">
        <v>2</v>
      </c>
      <c r="C32" s="9" t="s">
        <v>1</v>
      </c>
      <c r="D32" s="25" t="s">
        <v>156</v>
      </c>
      <c r="E32" s="26">
        <v>42372</v>
      </c>
      <c r="F32" s="27">
        <v>70000</v>
      </c>
    </row>
    <row r="33" spans="2:6">
      <c r="B33" s="11">
        <v>4</v>
      </c>
      <c r="C33" s="9" t="s">
        <v>4</v>
      </c>
      <c r="D33" s="25" t="s">
        <v>155</v>
      </c>
      <c r="E33" s="26">
        <v>42007</v>
      </c>
      <c r="F33" s="27">
        <v>150000</v>
      </c>
    </row>
    <row r="34" spans="2:6">
      <c r="B34" s="11">
        <v>5</v>
      </c>
      <c r="C34" s="9" t="s">
        <v>158</v>
      </c>
      <c r="D34" s="25" t="s">
        <v>156</v>
      </c>
      <c r="E34" s="26">
        <v>42372</v>
      </c>
      <c r="F34" s="27">
        <v>150000</v>
      </c>
    </row>
    <row r="35" spans="2:6">
      <c r="B35" s="11">
        <v>6</v>
      </c>
      <c r="C35" s="9" t="s">
        <v>159</v>
      </c>
      <c r="D35" s="25" t="s">
        <v>157</v>
      </c>
      <c r="E35" s="26">
        <v>42007</v>
      </c>
      <c r="F35" s="27">
        <v>100000</v>
      </c>
    </row>
    <row r="36" spans="2:6">
      <c r="B36" s="11">
        <v>8</v>
      </c>
      <c r="C36" s="9" t="s">
        <v>160</v>
      </c>
      <c r="D36" s="25" t="s">
        <v>157</v>
      </c>
      <c r="E36" s="26">
        <v>42738</v>
      </c>
      <c r="F36" s="27">
        <v>120000</v>
      </c>
    </row>
    <row r="37" spans="2:6">
      <c r="B37" s="11">
        <v>9</v>
      </c>
      <c r="C37" s="9" t="s">
        <v>161</v>
      </c>
      <c r="D37" s="25" t="s">
        <v>156</v>
      </c>
      <c r="E37" s="26">
        <v>42007</v>
      </c>
      <c r="F37" s="27">
        <v>70000</v>
      </c>
    </row>
    <row r="38" spans="2:6">
      <c r="B38" s="11">
        <v>10</v>
      </c>
      <c r="C38" s="9" t="s">
        <v>10</v>
      </c>
      <c r="D38" s="25" t="s">
        <v>156</v>
      </c>
      <c r="E38" s="26">
        <v>42372</v>
      </c>
      <c r="F38" s="27">
        <v>70000</v>
      </c>
    </row>
    <row r="39" spans="2:6">
      <c r="B39" s="11">
        <v>11</v>
      </c>
      <c r="C39" s="9" t="s">
        <v>11</v>
      </c>
      <c r="D39" s="25" t="s">
        <v>157</v>
      </c>
      <c r="E39" s="26">
        <v>42738</v>
      </c>
      <c r="F39" s="27">
        <v>70000</v>
      </c>
    </row>
    <row r="40" spans="2:6">
      <c r="B40" s="11">
        <v>12</v>
      </c>
      <c r="C40" s="9" t="s">
        <v>12</v>
      </c>
      <c r="D40" s="25" t="s">
        <v>155</v>
      </c>
      <c r="E40" s="26">
        <v>42007</v>
      </c>
      <c r="F40" s="27">
        <v>70000</v>
      </c>
    </row>
  </sheetData>
  <dataConsolidate function="average" topLabels="1">
    <dataRefs count="2">
      <dataRef ref="C4:F10" sheet="분석작업-2"/>
      <dataRef ref="C13:F19" sheet="분석작업-2"/>
    </dataRefs>
  </dataConsolidate>
  <phoneticPr fontId="1" type="noConversion"/>
  <conditionalFormatting sqref="D31:D36 D38:D40">
    <cfRule type="expression" dxfId="3" priority="4" stopIfTrue="1">
      <formula>OR(LEN($F31)&gt;=2,DAYS360(#REF!,#REF!)&gt;=5)</formula>
    </cfRule>
  </conditionalFormatting>
  <conditionalFormatting sqref="E31:E40">
    <cfRule type="expression" dxfId="2" priority="3" stopIfTrue="1">
      <formula>OR(LEN($F31)&gt;=2,DAYS360(#REF!,#REF!)&gt;=5)</formula>
    </cfRule>
  </conditionalFormatting>
  <conditionalFormatting sqref="F31:F40">
    <cfRule type="expression" dxfId="1" priority="2" stopIfTrue="1">
      <formula>OR(LEN($F31)&gt;=2,DAYS360(#REF!,#REF!)&gt;=5)</formula>
    </cfRule>
  </conditionalFormatting>
  <conditionalFormatting sqref="D37">
    <cfRule type="expression" dxfId="0" priority="1" stopIfTrue="1">
      <formula>OR(LEN($F37)&gt;=2,DAYS360(#REF!,#REF!)&gt;=5)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평균계산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activeCell="F11" sqref="F11"/>
    </sheetView>
  </sheetViews>
  <sheetFormatPr defaultRowHeight="16.5"/>
  <cols>
    <col min="1" max="1" width="1.625" style="5" customWidth="1"/>
    <col min="2" max="5" width="9" style="5"/>
    <col min="6" max="6" width="10.875" style="5" bestFit="1" customWidth="1"/>
    <col min="7" max="7" width="2.25" style="5" customWidth="1"/>
    <col min="8" max="16384" width="9" style="5"/>
  </cols>
  <sheetData>
    <row r="1" spans="1:7" s="7" customFormat="1" ht="21" customHeight="1">
      <c r="A1" s="80"/>
      <c r="B1" s="80"/>
      <c r="C1" s="80"/>
      <c r="D1" s="80"/>
      <c r="E1" s="80"/>
      <c r="F1" s="80"/>
      <c r="G1" s="80"/>
    </row>
    <row r="2" spans="1:7" s="7" customFormat="1" ht="22.5" customHeight="1">
      <c r="A2" s="80"/>
      <c r="B2" s="85" t="s">
        <v>376</v>
      </c>
      <c r="C2" s="85"/>
      <c r="D2" s="85"/>
      <c r="E2" s="85"/>
      <c r="F2" s="85"/>
    </row>
    <row r="3" spans="1:7" s="7" customFormat="1" ht="22.5" customHeight="1">
      <c r="A3" s="80"/>
      <c r="B3" s="81"/>
      <c r="C3" s="81"/>
      <c r="D3" s="81"/>
      <c r="E3" s="81"/>
      <c r="F3" s="81"/>
    </row>
    <row r="4" spans="1:7" s="7" customFormat="1" ht="21" customHeight="1">
      <c r="A4" s="80"/>
      <c r="B4" s="2" t="s">
        <v>366</v>
      </c>
      <c r="C4" s="2" t="s">
        <v>367</v>
      </c>
      <c r="D4" s="2" t="s">
        <v>368</v>
      </c>
      <c r="E4" s="2" t="s">
        <v>369</v>
      </c>
      <c r="F4" s="30" t="s">
        <v>370</v>
      </c>
      <c r="G4" s="80"/>
    </row>
    <row r="5" spans="1:7" s="7" customFormat="1" ht="21" customHeight="1">
      <c r="A5" s="80"/>
      <c r="B5" s="2">
        <v>1000</v>
      </c>
      <c r="C5" s="2" t="s">
        <v>371</v>
      </c>
      <c r="D5" s="10">
        <v>450000</v>
      </c>
      <c r="E5" s="10">
        <v>760000</v>
      </c>
      <c r="F5" s="82">
        <f t="shared" ref="F5:F9" si="0">SUM(D5:E5)</f>
        <v>1210000</v>
      </c>
      <c r="G5" s="80"/>
    </row>
    <row r="6" spans="1:7" s="7" customFormat="1" ht="21" customHeight="1">
      <c r="A6" s="80"/>
      <c r="B6" s="2">
        <v>2000</v>
      </c>
      <c r="C6" s="2" t="s">
        <v>372</v>
      </c>
      <c r="D6" s="10">
        <v>760000</v>
      </c>
      <c r="E6" s="10">
        <v>870000</v>
      </c>
      <c r="F6" s="82">
        <f t="shared" si="0"/>
        <v>1630000</v>
      </c>
      <c r="G6" s="80"/>
    </row>
    <row r="7" spans="1:7" s="7" customFormat="1" ht="21" customHeight="1">
      <c r="A7" s="80"/>
      <c r="B7" s="2">
        <v>3000</v>
      </c>
      <c r="C7" s="2" t="s">
        <v>373</v>
      </c>
      <c r="D7" s="10">
        <v>430000</v>
      </c>
      <c r="E7" s="10">
        <v>430000</v>
      </c>
      <c r="F7" s="82">
        <f t="shared" si="0"/>
        <v>860000</v>
      </c>
      <c r="G7" s="80"/>
    </row>
    <row r="8" spans="1:7" s="7" customFormat="1" ht="21" customHeight="1">
      <c r="A8" s="80"/>
      <c r="B8" s="2">
        <v>4000</v>
      </c>
      <c r="C8" s="2" t="s">
        <v>374</v>
      </c>
      <c r="D8" s="10">
        <v>230000</v>
      </c>
      <c r="E8" s="10">
        <v>350000</v>
      </c>
      <c r="F8" s="82">
        <f t="shared" si="0"/>
        <v>580000</v>
      </c>
      <c r="G8" s="80"/>
    </row>
    <row r="9" spans="1:7" s="7" customFormat="1" ht="21" customHeight="1">
      <c r="A9" s="80"/>
      <c r="B9" s="2">
        <v>5000</v>
      </c>
      <c r="C9" s="2" t="s">
        <v>375</v>
      </c>
      <c r="D9" s="10">
        <v>340000</v>
      </c>
      <c r="E9" s="10">
        <v>470000</v>
      </c>
      <c r="F9" s="82">
        <f t="shared" si="0"/>
        <v>810000</v>
      </c>
      <c r="G9" s="80"/>
    </row>
    <row r="10" spans="1:7" s="7" customFormat="1" ht="21" customHeight="1">
      <c r="A10" s="80"/>
      <c r="B10" s="80"/>
      <c r="C10" s="80"/>
      <c r="D10" s="80"/>
      <c r="E10" s="80"/>
      <c r="F10" s="80"/>
      <c r="G10" s="80"/>
    </row>
    <row r="11" spans="1:7" s="7" customFormat="1" ht="21.95" customHeight="1">
      <c r="A11" s="80"/>
      <c r="B11" s="80"/>
      <c r="C11" s="80"/>
      <c r="D11" s="80"/>
      <c r="E11" s="80"/>
      <c r="F11" s="80"/>
      <c r="G11" s="80"/>
    </row>
    <row r="12" spans="1:7" s="7" customFormat="1" ht="21.95" customHeight="1">
      <c r="A12" s="80"/>
      <c r="B12" s="80"/>
      <c r="C12" s="80"/>
      <c r="D12" s="80"/>
      <c r="E12" s="80"/>
      <c r="F12" s="80"/>
      <c r="G12" s="80"/>
    </row>
    <row r="13" spans="1:7" s="7" customFormat="1" ht="21.95" customHeight="1">
      <c r="A13" s="80"/>
      <c r="B13" s="80"/>
      <c r="C13" s="80"/>
      <c r="D13" s="80"/>
      <c r="E13" s="80"/>
      <c r="F13" s="80"/>
      <c r="G13" s="80"/>
    </row>
    <row r="14" spans="1:7" s="7" customFormat="1" ht="21.95" customHeight="1">
      <c r="A14" s="80"/>
      <c r="B14" s="80"/>
      <c r="C14" s="80"/>
      <c r="D14" s="80"/>
      <c r="E14" s="80"/>
      <c r="F14" s="80"/>
      <c r="G14" s="80"/>
    </row>
    <row r="15" spans="1:7" customFormat="1" ht="21.95" customHeight="1">
      <c r="A15" s="13"/>
      <c r="B15" s="13"/>
      <c r="C15" s="13"/>
      <c r="D15" s="13"/>
      <c r="E15" s="13"/>
      <c r="F15" s="13"/>
      <c r="G15" s="13"/>
    </row>
  </sheetData>
  <mergeCells count="1">
    <mergeCell ref="B2:F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2:E20"/>
  <sheetViews>
    <sheetView topLeftCell="A11" workbookViewId="0">
      <selection activeCell="B20" sqref="B20"/>
    </sheetView>
  </sheetViews>
  <sheetFormatPr defaultRowHeight="16.5"/>
  <cols>
    <col min="5" max="5" width="11.5" bestFit="1" customWidth="1"/>
  </cols>
  <sheetData>
    <row r="2" spans="2:5">
      <c r="B2" s="21" t="s">
        <v>38</v>
      </c>
      <c r="C2" s="21" t="s">
        <v>39</v>
      </c>
      <c r="D2" s="21" t="s">
        <v>40</v>
      </c>
      <c r="E2" s="21" t="s">
        <v>41</v>
      </c>
    </row>
    <row r="3" spans="2:5">
      <c r="B3" s="22" t="s">
        <v>141</v>
      </c>
      <c r="C3" s="22">
        <v>80</v>
      </c>
      <c r="D3" s="22">
        <v>70</v>
      </c>
      <c r="E3" s="83">
        <f t="shared" ref="E3:E14" si="0">C3+D3</f>
        <v>150</v>
      </c>
    </row>
    <row r="4" spans="2:5">
      <c r="B4" s="22" t="s">
        <v>53</v>
      </c>
      <c r="C4" s="22">
        <v>90</v>
      </c>
      <c r="D4" s="22">
        <v>80</v>
      </c>
      <c r="E4" s="83">
        <f t="shared" si="0"/>
        <v>170</v>
      </c>
    </row>
    <row r="5" spans="2:5">
      <c r="B5" s="22" t="s">
        <v>57</v>
      </c>
      <c r="C5" s="22">
        <v>60</v>
      </c>
      <c r="D5" s="22">
        <v>60</v>
      </c>
      <c r="E5" s="83">
        <f t="shared" si="0"/>
        <v>120</v>
      </c>
    </row>
    <row r="6" spans="2:5">
      <c r="B6" s="22" t="s">
        <v>59</v>
      </c>
      <c r="C6" s="22">
        <v>80</v>
      </c>
      <c r="D6" s="22">
        <v>90</v>
      </c>
      <c r="E6" s="83">
        <f t="shared" si="0"/>
        <v>170</v>
      </c>
    </row>
    <row r="7" spans="2:5">
      <c r="B7" s="22" t="s">
        <v>61</v>
      </c>
      <c r="C7" s="22">
        <v>90</v>
      </c>
      <c r="D7" s="22">
        <v>50</v>
      </c>
      <c r="E7" s="83">
        <f t="shared" si="0"/>
        <v>140</v>
      </c>
    </row>
    <row r="8" spans="2:5">
      <c r="B8" s="22" t="s">
        <v>70</v>
      </c>
      <c r="C8" s="22">
        <v>75</v>
      </c>
      <c r="D8" s="22">
        <v>50</v>
      </c>
      <c r="E8" s="83">
        <f t="shared" si="0"/>
        <v>125</v>
      </c>
    </row>
    <row r="9" spans="2:5">
      <c r="B9" s="22" t="s">
        <v>72</v>
      </c>
      <c r="C9" s="22">
        <v>80</v>
      </c>
      <c r="D9" s="22">
        <v>60</v>
      </c>
      <c r="E9" s="83">
        <f t="shared" si="0"/>
        <v>140</v>
      </c>
    </row>
    <row r="10" spans="2:5">
      <c r="B10" s="22" t="s">
        <v>74</v>
      </c>
      <c r="C10" s="22">
        <v>85</v>
      </c>
      <c r="D10" s="22">
        <v>80</v>
      </c>
      <c r="E10" s="83">
        <f t="shared" si="0"/>
        <v>165</v>
      </c>
    </row>
    <row r="11" spans="2:5">
      <c r="B11" s="22" t="s">
        <v>76</v>
      </c>
      <c r="C11" s="22">
        <v>60</v>
      </c>
      <c r="D11" s="22">
        <v>55</v>
      </c>
      <c r="E11" s="83">
        <f t="shared" si="0"/>
        <v>115</v>
      </c>
    </row>
    <row r="12" spans="2:5">
      <c r="B12" s="22" t="s">
        <v>86</v>
      </c>
      <c r="C12" s="22">
        <v>40</v>
      </c>
      <c r="D12" s="22">
        <v>80</v>
      </c>
      <c r="E12" s="83">
        <f t="shared" si="0"/>
        <v>120</v>
      </c>
    </row>
    <row r="13" spans="2:5">
      <c r="B13" s="22" t="s">
        <v>104</v>
      </c>
      <c r="C13" s="22">
        <v>20</v>
      </c>
      <c r="D13" s="22">
        <v>80</v>
      </c>
      <c r="E13" s="83">
        <f t="shared" si="0"/>
        <v>100</v>
      </c>
    </row>
    <row r="14" spans="2:5">
      <c r="B14" s="22" t="s">
        <v>107</v>
      </c>
      <c r="C14" s="22">
        <v>80</v>
      </c>
      <c r="D14" s="22">
        <v>70</v>
      </c>
      <c r="E14" s="83">
        <f t="shared" si="0"/>
        <v>150</v>
      </c>
    </row>
    <row r="20" spans="2:2">
      <c r="B20" t="s">
        <v>386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지정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H16"/>
  <sheetViews>
    <sheetView workbookViewId="0">
      <selection activeCell="H24" sqref="H24"/>
    </sheetView>
  </sheetViews>
  <sheetFormatPr defaultRowHeight="16.5"/>
  <cols>
    <col min="3" max="3" width="12.375" customWidth="1"/>
    <col min="4" max="4" width="12.25" customWidth="1"/>
    <col min="5" max="5" width="14.125" customWidth="1"/>
    <col min="6" max="6" width="8.75" customWidth="1"/>
    <col min="7" max="7" width="9.375" customWidth="1"/>
    <col min="8" max="8" width="9.875" customWidth="1"/>
    <col min="9" max="9" width="6" customWidth="1"/>
    <col min="10" max="10" width="3.625" customWidth="1"/>
  </cols>
  <sheetData>
    <row r="2" spans="2:8">
      <c r="B2" t="s">
        <v>377</v>
      </c>
    </row>
    <row r="4" spans="2:8">
      <c r="B4" s="1" t="s">
        <v>378</v>
      </c>
      <c r="C4" s="1" t="s">
        <v>379</v>
      </c>
      <c r="D4" s="1" t="s">
        <v>380</v>
      </c>
      <c r="E4" s="1" t="s">
        <v>381</v>
      </c>
      <c r="F4" s="1" t="s">
        <v>382</v>
      </c>
      <c r="G4" s="1" t="s">
        <v>383</v>
      </c>
      <c r="H4" s="1" t="s">
        <v>384</v>
      </c>
    </row>
    <row r="5" spans="2:8">
      <c r="B5" s="1"/>
      <c r="C5" s="1"/>
      <c r="D5" s="1"/>
      <c r="E5" s="1"/>
      <c r="F5" s="1"/>
      <c r="G5" s="1"/>
      <c r="H5" s="1"/>
    </row>
    <row r="6" spans="2:8">
      <c r="B6" s="1"/>
      <c r="C6" s="1"/>
      <c r="D6" s="1"/>
      <c r="E6" s="1"/>
      <c r="F6" s="1"/>
      <c r="G6" s="1"/>
      <c r="H6" s="1"/>
    </row>
    <row r="7" spans="2:8">
      <c r="B7" s="1"/>
      <c r="C7" s="1"/>
      <c r="D7" s="1"/>
      <c r="E7" s="1"/>
      <c r="F7" s="1"/>
      <c r="G7" s="1"/>
      <c r="H7" s="1"/>
    </row>
    <row r="8" spans="2:8">
      <c r="B8" s="1"/>
      <c r="C8" s="1"/>
      <c r="D8" s="1"/>
      <c r="E8" s="1"/>
      <c r="F8" s="1"/>
      <c r="G8" s="1"/>
      <c r="H8" s="1"/>
    </row>
    <row r="9" spans="2:8">
      <c r="B9" s="1"/>
      <c r="C9" s="1"/>
      <c r="D9" s="1"/>
      <c r="E9" s="1"/>
      <c r="F9" s="1"/>
      <c r="G9" s="1"/>
      <c r="H9" s="1"/>
    </row>
    <row r="10" spans="2:8">
      <c r="B10" s="1"/>
      <c r="C10" s="1"/>
      <c r="D10" s="1"/>
      <c r="E10" s="1"/>
      <c r="F10" s="1"/>
      <c r="G10" s="1"/>
      <c r="H10" s="1"/>
    </row>
    <row r="11" spans="2:8">
      <c r="B11" s="1"/>
      <c r="C11" s="1"/>
      <c r="D11" s="1"/>
      <c r="E11" s="1"/>
      <c r="F11" s="1"/>
      <c r="G11" s="1"/>
      <c r="H11" s="1"/>
    </row>
    <row r="12" spans="2:8">
      <c r="B12" s="1"/>
      <c r="C12" s="1"/>
      <c r="D12" s="1"/>
      <c r="E12" s="1"/>
      <c r="F12" s="1"/>
      <c r="G12" s="1"/>
      <c r="H12" s="1"/>
    </row>
    <row r="13" spans="2:8">
      <c r="B13" s="1"/>
      <c r="C13" s="1"/>
      <c r="D13" s="39"/>
      <c r="E13" s="1"/>
      <c r="F13" s="1"/>
      <c r="G13" s="1"/>
      <c r="H13" s="1"/>
    </row>
    <row r="14" spans="2:8">
      <c r="B14" s="1"/>
      <c r="C14" s="1"/>
      <c r="D14" s="1"/>
      <c r="E14" s="1"/>
      <c r="F14" s="1"/>
      <c r="G14" s="1"/>
      <c r="H14" s="1"/>
    </row>
    <row r="15" spans="2:8">
      <c r="B15" s="1"/>
      <c r="C15" s="1"/>
      <c r="D15" s="1"/>
      <c r="E15" s="1"/>
      <c r="F15" s="1"/>
      <c r="G15" s="1"/>
      <c r="H15" s="1"/>
    </row>
    <row r="16" spans="2:8">
      <c r="B16" s="1"/>
      <c r="C16" s="1"/>
      <c r="D16" s="1"/>
      <c r="E16" s="1"/>
      <c r="F16" s="1"/>
      <c r="G16" s="1"/>
      <c r="H16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입력">
          <controlPr defaultSize="0" autoLine="0" autoPict="0" r:id="rId4">
            <anchor moveWithCells="1">
              <from>
                <xdr:col>10</xdr:col>
                <xdr:colOff>276225</xdr:colOff>
                <xdr:row>4</xdr:row>
                <xdr:rowOff>0</xdr:rowOff>
              </from>
              <to>
                <xdr:col>12</xdr:col>
                <xdr:colOff>19050</xdr:colOff>
                <xdr:row>6</xdr:row>
                <xdr:rowOff>161925</xdr:rowOff>
              </to>
            </anchor>
          </controlPr>
        </control>
      </mc:Choice>
      <mc:Fallback>
        <control shapeId="3074" r:id="rId3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계산작업</vt:lpstr>
      <vt:lpstr>계산작업2</vt:lpstr>
      <vt:lpstr>오전자료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2018-02-20T03:37:55Z</cp:lastPrinted>
  <dcterms:created xsi:type="dcterms:W3CDTF">2016-04-11T07:21:32Z</dcterms:created>
  <dcterms:modified xsi:type="dcterms:W3CDTF">2021-06-07T13:19:03Z</dcterms:modified>
</cp:coreProperties>
</file>